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hedupl-my.sharepoint.com/personal/zpadol_student_agh_edu_pl/Documents/Pulpit asus/IiE/fir/"/>
    </mc:Choice>
  </mc:AlternateContent>
  <xr:revisionPtr revIDLastSave="1978" documentId="8_{BDAFE19A-5A99-471B-B6A6-E375BB12AA1D}" xr6:coauthVersionLast="47" xr6:coauthVersionMax="47" xr10:uidLastSave="{61E09C3D-4DB3-4319-9353-3978D79D912F}"/>
  <bookViews>
    <workbookView xWindow="-108" yWindow="-108" windowWidth="23256" windowHeight="12456" firstSheet="6" activeTab="7" xr2:uid="{F9A8EDBA-C1BD-444C-92CE-15E2E246A664}"/>
  </bookViews>
  <sheets>
    <sheet name="Strona tytułowa" sheetId="11" r:id="rId1"/>
    <sheet name="Wprowadzenie" sheetId="12" r:id="rId2"/>
    <sheet name="WybraneElementy" sheetId="1" r:id="rId3"/>
    <sheet name="Cash Flow" sheetId="9" r:id="rId4"/>
    <sheet name="Bilans" sheetId="3" r:id="rId5"/>
    <sheet name="RZiS" sheetId="7" r:id="rId6"/>
    <sheet name="Analiza wstępna" sheetId="14" r:id="rId7"/>
    <sheet name="Analiza wskaźnikowa" sheetId="13" r:id="rId8"/>
    <sheet name="Wnioski końcowe" sheetId="15" r:id="rId9"/>
    <sheet name="Komentarz zesp. oc." sheetId="16" r:id="rId10"/>
  </sheets>
  <definedNames>
    <definedName name="ExternalData_1" localSheetId="4" hidden="1">Bilans!$A$1:$D$20</definedName>
    <definedName name="ExternalData_2" localSheetId="4" hidden="1">Bilans!$A$21:$D$43</definedName>
    <definedName name="ExternalData_3" localSheetId="5" hidden="1">RZiS!$A$1:$D$22</definedName>
    <definedName name="ExternalData_4" localSheetId="3" hidden="1">'Cash Flow'!$A$1:$C$44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6" l="1"/>
  <c r="H20" i="13"/>
  <c r="D20" i="13"/>
  <c r="H13" i="13"/>
  <c r="H12" i="13"/>
  <c r="H11" i="13"/>
  <c r="F11" i="13"/>
  <c r="D13" i="13"/>
  <c r="D12" i="13"/>
  <c r="D11" i="13"/>
  <c r="D3" i="13"/>
  <c r="F20" i="13"/>
  <c r="F13" i="13"/>
  <c r="F12" i="13"/>
  <c r="G4" i="1"/>
  <c r="G3" i="1"/>
  <c r="G2" i="1"/>
  <c r="H24" i="13"/>
  <c r="D24" i="13"/>
  <c r="H23" i="13"/>
  <c r="D23" i="13"/>
  <c r="H22" i="13"/>
  <c r="D22" i="13"/>
  <c r="H21" i="13"/>
  <c r="F21" i="13"/>
  <c r="D21" i="13"/>
  <c r="F24" i="13"/>
  <c r="F23" i="13"/>
  <c r="F22" i="13"/>
  <c r="H19" i="13"/>
  <c r="F19" i="13"/>
  <c r="D19" i="13"/>
  <c r="H18" i="13"/>
  <c r="H17" i="13"/>
  <c r="F18" i="13"/>
  <c r="F17" i="13"/>
  <c r="D18" i="13"/>
  <c r="D17" i="13"/>
  <c r="H16" i="13"/>
  <c r="F16" i="13"/>
  <c r="D16" i="13"/>
  <c r="H15" i="13"/>
  <c r="F15" i="13"/>
  <c r="D15" i="13"/>
  <c r="H14" i="13"/>
  <c r="F14" i="13"/>
  <c r="D40" i="14"/>
  <c r="E40" i="14"/>
  <c r="D14" i="13"/>
  <c r="C40" i="14"/>
  <c r="D39" i="14"/>
  <c r="E39" i="14"/>
  <c r="C39" i="14"/>
  <c r="D35" i="14"/>
  <c r="C35" i="14"/>
  <c r="H10" i="13"/>
  <c r="B35" i="14"/>
  <c r="F10" i="13"/>
  <c r="D10" i="13"/>
  <c r="D33" i="14"/>
  <c r="D34" i="14"/>
  <c r="C33" i="14"/>
  <c r="C34" i="14"/>
  <c r="B34" i="14"/>
  <c r="B33" i="14"/>
  <c r="B32" i="14"/>
  <c r="C32" i="14"/>
  <c r="D32" i="14"/>
  <c r="H9" i="13"/>
  <c r="H8" i="13"/>
  <c r="F9" i="13"/>
  <c r="F8" i="13"/>
  <c r="D9" i="13"/>
  <c r="D8" i="13"/>
  <c r="J19" i="14"/>
  <c r="J20" i="14"/>
  <c r="J21" i="14"/>
  <c r="J22" i="14"/>
  <c r="I19" i="14"/>
  <c r="I20" i="14"/>
  <c r="I21" i="14"/>
  <c r="I22" i="14"/>
  <c r="F19" i="14"/>
  <c r="H19" i="14"/>
  <c r="F20" i="14"/>
  <c r="H20" i="14"/>
  <c r="F21" i="14"/>
  <c r="H21" i="14"/>
  <c r="F22" i="14"/>
  <c r="H22" i="14"/>
  <c r="E19" i="14"/>
  <c r="G19" i="14"/>
  <c r="E20" i="14"/>
  <c r="G20" i="14"/>
  <c r="E21" i="14"/>
  <c r="G21" i="14"/>
  <c r="E22" i="14"/>
  <c r="G22" i="14"/>
  <c r="C30" i="14"/>
  <c r="D30" i="14"/>
  <c r="B30" i="14"/>
  <c r="C29" i="14"/>
  <c r="D29" i="14"/>
  <c r="B29" i="14"/>
  <c r="C28" i="14"/>
  <c r="D28" i="14"/>
  <c r="B28" i="14"/>
  <c r="C27" i="14"/>
  <c r="D27" i="14"/>
  <c r="B27" i="14"/>
  <c r="F7" i="13"/>
  <c r="H7" i="13"/>
  <c r="D7" i="13"/>
  <c r="F6" i="13"/>
  <c r="D6" i="13"/>
  <c r="H6" i="13"/>
  <c r="J15" i="14"/>
  <c r="J16" i="14"/>
  <c r="J17" i="14"/>
  <c r="I15" i="14"/>
  <c r="I16" i="14"/>
  <c r="I17" i="14"/>
  <c r="J14" i="14"/>
  <c r="F15" i="14"/>
  <c r="H15" i="14"/>
  <c r="F16" i="14"/>
  <c r="H16" i="14"/>
  <c r="F17" i="14"/>
  <c r="H17" i="14"/>
  <c r="E15" i="14"/>
  <c r="G15" i="14"/>
  <c r="E16" i="14"/>
  <c r="G16" i="14"/>
  <c r="E17" i="14"/>
  <c r="G17" i="14"/>
  <c r="J12" i="14"/>
  <c r="J13" i="14"/>
  <c r="I12" i="14"/>
  <c r="I13" i="14"/>
  <c r="I14" i="14"/>
  <c r="H5" i="13"/>
  <c r="F12" i="14"/>
  <c r="H12" i="14"/>
  <c r="F13" i="14"/>
  <c r="H13" i="14"/>
  <c r="F14" i="14"/>
  <c r="H14" i="14"/>
  <c r="F5" i="13"/>
  <c r="E12" i="14"/>
  <c r="G12" i="14"/>
  <c r="E13" i="14"/>
  <c r="G13" i="14"/>
  <c r="E14" i="14"/>
  <c r="G14" i="14"/>
  <c r="D5" i="13"/>
  <c r="J5" i="14"/>
  <c r="J6" i="14"/>
  <c r="J7" i="14"/>
  <c r="J8" i="14"/>
  <c r="J9" i="14"/>
  <c r="J10" i="14"/>
  <c r="J4" i="14"/>
  <c r="I5" i="14"/>
  <c r="I6" i="14"/>
  <c r="I7" i="14"/>
  <c r="I8" i="14"/>
  <c r="I9" i="14"/>
  <c r="I10" i="14"/>
  <c r="I4" i="14"/>
  <c r="H4" i="13"/>
  <c r="F4" i="13"/>
  <c r="F5" i="14"/>
  <c r="H5" i="14"/>
  <c r="F6" i="14"/>
  <c r="H6" i="14"/>
  <c r="F7" i="14"/>
  <c r="H7" i="14"/>
  <c r="F8" i="14"/>
  <c r="H8" i="14"/>
  <c r="F9" i="14"/>
  <c r="H9" i="14"/>
  <c r="F10" i="14"/>
  <c r="H10" i="14"/>
  <c r="F4" i="14"/>
  <c r="H4" i="14"/>
  <c r="D4" i="13"/>
  <c r="E5" i="14"/>
  <c r="G5" i="14"/>
  <c r="E6" i="14"/>
  <c r="G6" i="14"/>
  <c r="E7" i="14"/>
  <c r="G7" i="14"/>
  <c r="E8" i="14"/>
  <c r="G8" i="14"/>
  <c r="E9" i="14"/>
  <c r="G9" i="14"/>
  <c r="E10" i="14"/>
  <c r="G10" i="14"/>
  <c r="E4" i="14"/>
  <c r="G4" i="14"/>
  <c r="H3" i="13"/>
  <c r="F3" i="13"/>
  <c r="E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Zapytanie — Table002 (Page 3)" description="Połączenie z zapytaniem „Table002 (Page 3)” w skoroszycie." type="5" refreshedVersion="8" background="1" saveData="1">
    <dbPr connection="Provider=Microsoft.Mashup.OleDb.1;Data Source=$Workbook$;Location=&quot;Table002 (Page 3)&quot;;Extended Properties=&quot;&quot;" command="SELECT * FROM [Table002 (Page 3)]"/>
  </connection>
  <connection id="2" xr16:uid="{00000000-0015-0000-FFFF-FFFF01000000}" keepAlive="1" name="Zapytanie — Table002 (Page 3) (2)" description="Połączenie z zapytaniem „Table002 (Page 3) (2)” w skoroszycie." type="5" refreshedVersion="0" background="1" saveData="1">
    <dbPr connection="Provider=Microsoft.Mashup.OleDb.1;Data Source=$Workbook$;Location=&quot;Table002 (Page 3) (2)&quot;;Extended Properties=&quot;&quot;" command="SELECT * FROM [Table002 (Page 3) (2)]"/>
  </connection>
  <connection id="3" xr16:uid="{00000000-0015-0000-FFFF-FFFF02000000}" keepAlive="1" name="Zapytanie — Table003 (Page 4)" description="Połączenie z zapytaniem „Table003 (Page 4)” w skoroszycie." type="5" refreshedVersion="0" background="1" saveData="1">
    <dbPr connection="Provider=Microsoft.Mashup.OleDb.1;Data Source=$Workbook$;Location=&quot;Table003 (Page 4)&quot;;Extended Properties=&quot;&quot;" command="SELECT * FROM [Table003 (Page 4)]"/>
  </connection>
  <connection id="4" xr16:uid="{00000000-0015-0000-FFFF-FFFF03000000}" keepAlive="1" name="Zapytanie — Table003 (Page 4) (2)" description="Połączenie z zapytaniem „Table003 (Page 4) (2)” w skoroszycie." type="5" refreshedVersion="8" background="1" saveData="1">
    <dbPr connection="Provider=Microsoft.Mashup.OleDb.1;Data Source=$Workbook$;Location=&quot;Table003 (Page 4) (2)&quot;;Extended Properties=&quot;&quot;" command="SELECT * FROM [Table003 (Page 4) (2)]"/>
  </connection>
  <connection id="5" xr16:uid="{00000000-0015-0000-FFFF-FFFF04000000}" keepAlive="1" name="Zapytanie — Table003 (Page 4) (3)" description="Połączenie z zapytaniem „Table003 (Page 4) (3)” w skoroszycie." type="5" refreshedVersion="0" background="1" saveData="1">
    <dbPr connection="Provider=Microsoft.Mashup.OleDb.1;Data Source=$Workbook$;Location=&quot;Table003 (Page 4) (3)&quot;;Extended Properties=&quot;&quot;" command="SELECT * FROM [Table003 (Page 4) (3)]"/>
  </connection>
  <connection id="6" xr16:uid="{00000000-0015-0000-FFFF-FFFF05000000}" keepAlive="1" name="Zapytanie — Table004 (Page 5)" description="Połączenie z zapytaniem „Table004 (Page 5)” w skoroszycie." type="5" refreshedVersion="8" background="1" saveData="1">
    <dbPr connection="Provider=Microsoft.Mashup.OleDb.1;Data Source=$Workbook$;Location=&quot;Table004 (Page 5)&quot;;Extended Properties=&quot;&quot;" command="SELECT * FROM [Table004 (Page 5)]"/>
  </connection>
  <connection id="7" xr16:uid="{00000000-0015-0000-FFFF-FFFF06000000}" keepAlive="1" name="Zapytanie — Table004 (Page 5) (2)" description="Połączenie z zapytaniem „Table004 (Page 5) (2)” w skoroszycie." type="5" refreshedVersion="0" background="1" saveData="1">
    <dbPr connection="Provider=Microsoft.Mashup.OleDb.1;Data Source=$Workbook$;Location=&quot;Table004 (Page 5) (2)&quot;;Extended Properties=&quot;&quot;" command="SELECT * FROM [Table004 (Page 5) (2)]"/>
  </connection>
  <connection id="8" xr16:uid="{00000000-0015-0000-FFFF-FFFF07000000}" keepAlive="1" name="Zapytanie — Table005 (Page 6)" description="Połączenie z zapytaniem „Table005 (Page 6)” w skoroszycie." type="5" refreshedVersion="8" background="1" saveData="1">
    <dbPr connection="Provider=Microsoft.Mashup.OleDb.1;Data Source=$Workbook$;Location=&quot;Table005 (Page 6)&quot;;Extended Properties=&quot;&quot;" command="SELECT * FROM [Table005 (Page 6)]"/>
  </connection>
  <connection id="9" xr16:uid="{00000000-0015-0000-FFFF-FFFF08000000}" keepAlive="1" name="Zapytanie — Table005 (Page 6) (2)" description="Połączenie z zapytaniem „Table005 (Page 6) (2)” w skoroszycie." type="5" refreshedVersion="0" background="1" saveData="1">
    <dbPr connection="Provider=Microsoft.Mashup.OleDb.1;Data Source=$Workbook$;Location=&quot;Table005 (Page 6) (2)&quot;;Extended Properties=&quot;&quot;" command="SELECT * FROM [Table005 (Page 6) (2)]"/>
  </connection>
</connections>
</file>

<file path=xl/sharedStrings.xml><?xml version="1.0" encoding="utf-8"?>
<sst xmlns="http://schemas.openxmlformats.org/spreadsheetml/2006/main" count="570" uniqueCount="431">
  <si>
    <r>
      <rPr>
        <sz val="12"/>
        <color rgb="FF000000"/>
        <rFont val="Aptos Narrow"/>
        <scheme val="minor"/>
      </rPr>
      <t xml:space="preserve">Finanse i rachunkowość
</t>
    </r>
    <r>
      <rPr>
        <i/>
        <sz val="14"/>
        <color rgb="FF156082"/>
        <rFont val="Aptos Narrow"/>
        <scheme val="minor"/>
      </rPr>
      <t xml:space="preserve">Analiza finansowa spółki Atende SA
</t>
    </r>
    <r>
      <rPr>
        <sz val="12"/>
        <color rgb="FF000000"/>
        <rFont val="Aptos Narrow"/>
        <scheme val="minor"/>
      </rPr>
      <t>Lata analizy: 2022 - 2024
Oliwia Samborska, Zofia Padoł, Magdalena Kluszczyńska</t>
    </r>
  </si>
  <si>
    <t>Przedmiotem naszej analizy jest Grupa Kapitałowa Atende S.A., jeden z czołowych dostawców usług IT w Polsce, notowany na Giełdzie Papierów Wartościowych w Warszawie. Spółka funkcjonuje w sektorze nowoczesnych technologii, co w istotny sposób determinuje strukturę jej sprawozdania finansowego oraz wartości poszczególnych wskaźników.
Główne obszary działalności Grupy Atende obejmują:
- Integrację systemów IT: budowa złożonej infrastruktury informatycznej i centrów danych.
- Cyberbezpieczeństwo: dostarczanie zaawansowanych rozwiązań ochrony danych.
- Usługi w chmurze (Cloud): oferowanie mocy obliczeniowej w modelu abonamentowym.
- Energetykę cyfrową: tworzenie innowacyjnego oprogramowania dla inteligentnych sieci energetycznych.
Z punktu widzenia analizy finansowej, branża IT charakteryzuje się wysoką dynamiką zmian, dużą zależnością od kapitału ludzkiego oraz modelem biznesowym typu asset-light (przewaga aktywów obrotowych nad trwałymi). W analizowanym okresie Grupa koncentrowała się na transformacji w kierunku sprzedaży usług własnych o wyższej marży, co przy jednoczesnych wysokich kosztach operacyjnych i inwestycjach w innowacje, miało kluczowy wpływ na prezentowane wyniki finansowe, w tym na relację między zyskiem księgowym a generowanymi przepływami pieniężnymi.</t>
  </si>
  <si>
    <t>Wybrane elementy bilansu</t>
  </si>
  <si>
    <t>stan na 31.12.2024</t>
  </si>
  <si>
    <t>stan na 31.12.2023</t>
  </si>
  <si>
    <t>stan na 31.12.2022</t>
  </si>
  <si>
    <t>Przeciętny stan aktywów ogółem:</t>
  </si>
  <si>
    <t>Aktywa trwałe</t>
  </si>
  <si>
    <t>Średni stan zapasów:</t>
  </si>
  <si>
    <t>Aktywa obrotowe</t>
  </si>
  <si>
    <t>Średni stan należności:</t>
  </si>
  <si>
    <t>Pozostałe aktywa krótkoterminowe(jako rozliczenia m.ok.)</t>
  </si>
  <si>
    <t>Należności z tytułu dostaw i usług (do rotacji)</t>
  </si>
  <si>
    <t>Zapasy</t>
  </si>
  <si>
    <t>Aktywa razem</t>
  </si>
  <si>
    <t>Kapitał własny</t>
  </si>
  <si>
    <t>Zob. dł.</t>
  </si>
  <si>
    <t>Zob. kr.</t>
  </si>
  <si>
    <t>Zobowiązania z tytułu dostaw i usług</t>
  </si>
  <si>
    <t>Pasywa razem</t>
  </si>
  <si>
    <t>Rachunek zysków i strat</t>
  </si>
  <si>
    <t>Przychody netto ze sprzedaży</t>
  </si>
  <si>
    <t>Koszt własny sprzedaży</t>
  </si>
  <si>
    <t>Zysk brutto na sprzedaży</t>
  </si>
  <si>
    <t>Zysk/(strata) na działalności operacyjnej</t>
  </si>
  <si>
    <t>Zysk/(strata) przed opodatkowaniem</t>
  </si>
  <si>
    <t>Zysk/(strata) netto</t>
  </si>
  <si>
    <t>Cash flow</t>
  </si>
  <si>
    <t xml:space="preserve">DZIAŁALNOŚĆ OPERACYJNA </t>
  </si>
  <si>
    <t>Zysk/ (strata) przed opodatkowaniem</t>
  </si>
  <si>
    <t>Przepływy z działalności operacyjnej</t>
  </si>
  <si>
    <t>Przepływy pieniężne netto z działalności operacyjnej</t>
  </si>
  <si>
    <t>DZIAŁALNOŚĆ INWESTYCYJNA</t>
  </si>
  <si>
    <t>Wpływy:</t>
  </si>
  <si>
    <t>Wydatki:</t>
  </si>
  <si>
    <t>Przepływy pieniężne netto z działalności inwestycyjnej</t>
  </si>
  <si>
    <t>DZIAŁALNOŚĆ FINANSOWA</t>
  </si>
  <si>
    <t>Spłaty kredytów i pożyczek</t>
  </si>
  <si>
    <t>Dywidendy</t>
  </si>
  <si>
    <t>-</t>
  </si>
  <si>
    <t>Odsetki</t>
  </si>
  <si>
    <t>Przepływy pieniężne netto z działalności finansowej</t>
  </si>
  <si>
    <t>PRZEPŁYWY PIENIĘŻNE NETTO RAZEM</t>
  </si>
  <si>
    <t>Środki pieniężne na początek okresu</t>
  </si>
  <si>
    <t>Środki pieniężne na koniec okresu</t>
  </si>
  <si>
    <t>Kolumna3</t>
  </si>
  <si>
    <t>Kolumna2</t>
  </si>
  <si>
    <t>Kolumna1</t>
  </si>
  <si>
    <t>Kolumna12</t>
  </si>
  <si>
    <t/>
  </si>
  <si>
    <t>2024 r.</t>
  </si>
  <si>
    <t>2023 r.</t>
  </si>
  <si>
    <t>2022 r.</t>
  </si>
  <si>
    <t>DZIAŁALNOŚĆ OPERACYJNA</t>
  </si>
  <si>
    <t>Zysk przed opodatkowaniem</t>
  </si>
  <si>
    <t>13 008</t>
  </si>
  <si>
    <t>16 550</t>
  </si>
  <si>
    <t>1 096</t>
  </si>
  <si>
    <t>Korekty razem:</t>
  </si>
  <si>
    <t>43 789</t>
  </si>
  <si>
    <t>23 292</t>
  </si>
  <si>
    <t>10 966</t>
  </si>
  <si>
    <t>Amortyzacja</t>
  </si>
  <si>
    <t>6 445</t>
  </si>
  <si>
    <t>6 836</t>
  </si>
  <si>
    <t>6 676</t>
  </si>
  <si>
    <t>Zyski (straty) z tytułu różnic kursowych</t>
  </si>
  <si>
    <t>(21)</t>
  </si>
  <si>
    <t>(106)</t>
  </si>
  <si>
    <t>76</t>
  </si>
  <si>
    <t>Odsetki i udziały w zyskach (dywidendy)</t>
  </si>
  <si>
    <t>(1 762)</t>
  </si>
  <si>
    <t>(676)</t>
  </si>
  <si>
    <t>263</t>
  </si>
  <si>
    <t>Zyski z działalności inwestycyjnej</t>
  </si>
  <si>
    <t>19</t>
  </si>
  <si>
    <t>15</t>
  </si>
  <si>
    <t>9</t>
  </si>
  <si>
    <t>Inne korekty</t>
  </si>
  <si>
    <t>101</t>
  </si>
  <si>
    <t>(535)</t>
  </si>
  <si>
    <t>(1 425)</t>
  </si>
  <si>
    <t>Zmiana kapitału pracującego, w tym:</t>
  </si>
  <si>
    <t>42 823</t>
  </si>
  <si>
    <t>28 806</t>
  </si>
  <si>
    <t>(8 142)</t>
  </si>
  <si>
    <t>1 303</t>
  </si>
  <si>
    <t>6 758</t>
  </si>
  <si>
    <t>(6 942)</t>
  </si>
  <si>
    <t>Należności</t>
  </si>
  <si>
    <t>13 514</t>
  </si>
  <si>
    <t>(12 119)</t>
  </si>
  <si>
    <t>13 207</t>
  </si>
  <si>
    <t>Zobowiązania i rezerwy</t>
  </si>
  <si>
    <t>28 006</t>
  </si>
  <si>
    <t>34 167</t>
  </si>
  <si>
    <t>(14 407)</t>
  </si>
  <si>
    <t>Zmiana stanu pozostałych aktywów</t>
  </si>
  <si>
    <t>(3 816)</t>
  </si>
  <si>
    <t>(11 048)</t>
  </si>
  <si>
    <t>13 509</t>
  </si>
  <si>
    <t>56 797</t>
  </si>
  <si>
    <t>39 842</t>
  </si>
  <si>
    <t>12 062</t>
  </si>
  <si>
    <t>Podatek dochodowy (zapłacony) / zwrócony</t>
  </si>
  <si>
    <t>(2 153)</t>
  </si>
  <si>
    <t>(2 665)</t>
  </si>
  <si>
    <t>54 644</t>
  </si>
  <si>
    <t>37 177</t>
  </si>
  <si>
    <t>1 900</t>
  </si>
  <si>
    <t>2 330</t>
  </si>
  <si>
    <t>300</t>
  </si>
  <si>
    <t>Zbycie wartości niematerialnych oraz rzeczowych aktywów trwałych</t>
  </si>
  <si>
    <t>17</t>
  </si>
  <si>
    <t>158</t>
  </si>
  <si>
    <t>46</t>
  </si>
  <si>
    <t>Środki pieniężne przejęte w ramach połączenia z jednostką zależną</t>
  </si>
  <si>
    <t>193</t>
  </si>
  <si>
    <t>12</t>
  </si>
  <si>
    <t>Dotacje</t>
  </si>
  <si>
    <t>118</t>
  </si>
  <si>
    <t>364</t>
  </si>
  <si>
    <t>Spłata udzielonych pożyczek</t>
  </si>
  <si>
    <t>1 572</t>
  </si>
  <si>
    <t>1 808</t>
  </si>
  <si>
    <t>242</t>
  </si>
  <si>
    <t>24 893</t>
  </si>
  <si>
    <t>24 115</t>
  </si>
  <si>
    <t>3 221</t>
  </si>
  <si>
    <t>Nabycie wartości niematerialnych oraz rzeczowych aktywów trwałych</t>
  </si>
  <si>
    <t>1 793</t>
  </si>
  <si>
    <t>3 037</t>
  </si>
  <si>
    <t>3 021</t>
  </si>
  <si>
    <t>Wydatki na aktywa finansowe</t>
  </si>
  <si>
    <t>23 100</t>
  </si>
  <si>
    <t>19 878</t>
  </si>
  <si>
    <t>200</t>
  </si>
  <si>
    <t>Nabycie udziałów w jednostce stowarzyszonej</t>
  </si>
  <si>
    <t>1 200</t>
  </si>
  <si>
    <t>(22 993)</t>
  </si>
  <si>
    <t>(21 785)</t>
  </si>
  <si>
    <t>(2 921)</t>
  </si>
  <si>
    <t>9 490</t>
  </si>
  <si>
    <t>8 036</t>
  </si>
  <si>
    <t>9 651</t>
  </si>
  <si>
    <t>Kredyty i pożyczki</t>
  </si>
  <si>
    <t>18 992</t>
  </si>
  <si>
    <t>6 780</t>
  </si>
  <si>
    <t>12 622</t>
  </si>
  <si>
    <t>9 889</t>
  </si>
  <si>
    <t>2 851</t>
  </si>
  <si>
    <t>Płatności zobowiązań z tytułu umów leasingu</t>
  </si>
  <si>
    <t>2 703</t>
  </si>
  <si>
    <t>3 408</t>
  </si>
  <si>
    <t>314</t>
  </si>
  <si>
    <t>Inne wydatki finansowe</t>
  </si>
  <si>
    <t>261</t>
  </si>
  <si>
    <t>207</t>
  </si>
  <si>
    <t>1 256</t>
  </si>
  <si>
    <t>Bilansowa zmiana stanu środków pieniężnych, w tym:</t>
  </si>
  <si>
    <t>22 149</t>
  </si>
  <si>
    <t>16 648</t>
  </si>
  <si>
    <t>- zmiana stanu środków pieniężnych z tytułu różnic kursowych</t>
  </si>
  <si>
    <t>AKTYWA</t>
  </si>
  <si>
    <t>Nota</t>
  </si>
  <si>
    <t>stan na
31.12.2024</t>
  </si>
  <si>
    <t>stan na
31.12.2023</t>
  </si>
  <si>
    <t>stan na
31.12.2022</t>
  </si>
  <si>
    <t>50 372</t>
  </si>
  <si>
    <t>Rzeczowe aktywa trwałe</t>
  </si>
  <si>
    <t>14 284</t>
  </si>
  <si>
    <t>Wartości niematerialne</t>
  </si>
  <si>
    <t>5 359</t>
  </si>
  <si>
    <t>5 494</t>
  </si>
  <si>
    <t>Aktywa z tytułu prawa do użytkowania</t>
  </si>
  <si>
    <t>7 878</t>
  </si>
  <si>
    <t>4 129</t>
  </si>
  <si>
    <t>Inwestycje w jednostki podporządkowane</t>
  </si>
  <si>
    <t>15 945</t>
  </si>
  <si>
    <t>16 946</t>
  </si>
  <si>
    <t>Pozostałe długoterminowe aktywa finansowe</t>
  </si>
  <si>
    <t>Aktywa wyceniane w wartości godziwej przez pozostałe
całkowite dochody</t>
  </si>
  <si>
    <t>80</t>
  </si>
  <si>
    <t>Aktywa z tytułu odroczonego podatku dochodowego</t>
  </si>
  <si>
    <t>1 264</t>
  </si>
  <si>
    <t>Aktywa z tytułu umów z klientami</t>
  </si>
  <si>
    <t>1 206</t>
  </si>
  <si>
    <t>2 619</t>
  </si>
  <si>
    <t>Pozostałe aktywa trwałe</t>
  </si>
  <si>
    <t>10 590</t>
  </si>
  <si>
    <t>3 945</t>
  </si>
  <si>
    <t>175 331</t>
  </si>
  <si>
    <t>93 659</t>
  </si>
  <si>
    <t>2 645</t>
  </si>
  <si>
    <t>7 554</t>
  </si>
  <si>
    <t>Należności z tytułu dostaw i usług</t>
  </si>
  <si>
    <t>52 788</t>
  </si>
  <si>
    <t>47 910</t>
  </si>
  <si>
    <t>Pozostałe należności</t>
  </si>
  <si>
    <t>992</t>
  </si>
  <si>
    <t>418</t>
  </si>
  <si>
    <t>Pozostałe aktywa finansowe</t>
  </si>
  <si>
    <t>45 302</t>
  </si>
  <si>
    <t>2 108</t>
  </si>
  <si>
    <t>Pozostałe aktywa krótkoterminowe</t>
  </si>
  <si>
    <t>19 703</t>
  </si>
  <si>
    <t>11 460</t>
  </si>
  <si>
    <t>Środki pieniężne i ich ekwiwalenty</t>
  </si>
  <si>
    <t>51 781</t>
  </si>
  <si>
    <t>12 984</t>
  </si>
  <si>
    <t>AKTYWA RAZEM</t>
  </si>
  <si>
    <t>231 722</t>
  </si>
  <si>
    <t>144 031</t>
  </si>
  <si>
    <t>PASYWA</t>
  </si>
  <si>
    <t>0</t>
  </si>
  <si>
    <t>86 052</t>
  </si>
  <si>
    <t>70 018</t>
  </si>
  <si>
    <t>Kapitał zakładowy</t>
  </si>
  <si>
    <t>7 269</t>
  </si>
  <si>
    <t>Kapitał zapasowy z emisji akcji powyżej wartości
nominalnej</t>
  </si>
  <si>
    <t>14 753</t>
  </si>
  <si>
    <t>Zyski zatrzymane</t>
  </si>
  <si>
    <t>64 030</t>
  </si>
  <si>
    <t>47 996</t>
  </si>
  <si>
    <t>Zobowiązania długoterminowe</t>
  </si>
  <si>
    <t>22 533</t>
  </si>
  <si>
    <t>8 255</t>
  </si>
  <si>
    <t>3 088</t>
  </si>
  <si>
    <t>558</t>
  </si>
  <si>
    <t>Zobowiązania z tytułu leasingu</t>
  </si>
  <si>
    <t>5 280</t>
  </si>
  <si>
    <t>Zobowiązania z tytułu umów z klientami</t>
  </si>
  <si>
    <t>13 093</t>
  </si>
  <si>
    <t>1 733</t>
  </si>
  <si>
    <t>Pozostałe zobowiązania długoterminowe</t>
  </si>
  <si>
    <t>13</t>
  </si>
  <si>
    <t>5 114</t>
  </si>
  <si>
    <t>Rozliczenia międzyokresowe przychodów</t>
  </si>
  <si>
    <t>218</t>
  </si>
  <si>
    <t>Rezerwa na świadczenia emerytalne i podobne</t>
  </si>
  <si>
    <t>841</t>
  </si>
  <si>
    <t>838</t>
  </si>
  <si>
    <t>Zobowiązania krótkoterminowe</t>
  </si>
  <si>
    <t>123 137</t>
  </si>
  <si>
    <t>65 758</t>
  </si>
  <si>
    <t>5 536</t>
  </si>
  <si>
    <t>3 285</t>
  </si>
  <si>
    <t>Pozostałe zobowiązania finansowe</t>
  </si>
  <si>
    <t>523</t>
  </si>
  <si>
    <t>2 598</t>
  </si>
  <si>
    <t>2 577</t>
  </si>
  <si>
    <t>18 856</t>
  </si>
  <si>
    <t>11 925</t>
  </si>
  <si>
    <t>76 121</t>
  </si>
  <si>
    <t>32 874</t>
  </si>
  <si>
    <t>Zobowiązania z tytułu bieżącego podatku
dochodowego</t>
  </si>
  <si>
    <t>942</t>
  </si>
  <si>
    <t>Pozostałe zobowiązania krótkoterminowe</t>
  </si>
  <si>
    <t>18 865</t>
  </si>
  <si>
    <t>14 474</t>
  </si>
  <si>
    <t>73</t>
  </si>
  <si>
    <t>146</t>
  </si>
  <si>
    <t>100</t>
  </si>
  <si>
    <t>PASYWA RAZEM</t>
  </si>
  <si>
    <t>Przychody ze sprzedaży</t>
  </si>
  <si>
    <t>Pozostałe przychody operacyjne</t>
  </si>
  <si>
    <t>605</t>
  </si>
  <si>
    <t>591</t>
  </si>
  <si>
    <t>139</t>
  </si>
  <si>
    <t>Koszty ogólnego zarządu</t>
  </si>
  <si>
    <t>39 542</t>
  </si>
  <si>
    <t>36 890</t>
  </si>
  <si>
    <t>Pozostałe koszty operacyjne</t>
  </si>
  <si>
    <t>211</t>
  </si>
  <si>
    <t>524</t>
  </si>
  <si>
    <t>174</t>
  </si>
  <si>
    <t>Zysk na działalności operacyjnej</t>
  </si>
  <si>
    <t>Przychody finansowe</t>
  </si>
  <si>
    <t>3 297</t>
  </si>
  <si>
    <t>1 238</t>
  </si>
  <si>
    <t>927</t>
  </si>
  <si>
    <t>Koszty finansowe</t>
  </si>
  <si>
    <t>2 171</t>
  </si>
  <si>
    <t>2 007</t>
  </si>
  <si>
    <t>1 171</t>
  </si>
  <si>
    <t>Podatek dochodowy</t>
  </si>
  <si>
    <t>2 689</t>
  </si>
  <si>
    <t>3 281</t>
  </si>
  <si>
    <t>381</t>
  </si>
  <si>
    <t>Zysk netto</t>
  </si>
  <si>
    <t>Składniki innych dochodów całkowitych:</t>
  </si>
  <si>
    <t>- które zostaną przekwalifikowane na zyski lub straty po
spełnieniu określonych warunków</t>
  </si>
  <si>
    <t>- które nie zostaną przekwalifikowane na zyski lub straty
w kolejnych okresach</t>
  </si>
  <si>
    <t>Suma dochodów całkowitych</t>
  </si>
  <si>
    <t>10 319</t>
  </si>
  <si>
    <t>13 269</t>
  </si>
  <si>
    <t>715</t>
  </si>
  <si>
    <t>Zysk netto na jedną akcję (w zł)</t>
  </si>
  <si>
    <t>Podstawowy za okres obrotowy</t>
  </si>
  <si>
    <t>0,28</t>
  </si>
  <si>
    <t>0,37</t>
  </si>
  <si>
    <t>0,02</t>
  </si>
  <si>
    <t>Rozwodniony za okres obrotowy</t>
  </si>
  <si>
    <t>1. Analiza Pozioma</t>
  </si>
  <si>
    <t>Zmiana bezwzględna 
2024/2023</t>
  </si>
  <si>
    <t>Zmiana bezwzględna 
2023/2022</t>
  </si>
  <si>
    <t>Tempo zmian
2024/2023</t>
  </si>
  <si>
    <t>Tempo zmian
2023/2022</t>
  </si>
  <si>
    <t>Wskaźnik dynamiki
2024/2023</t>
  </si>
  <si>
    <t>Wskaźnik dynamiki 
2023/2022</t>
  </si>
  <si>
    <r>
      <rPr>
        <i/>
        <sz val="11"/>
        <color rgb="FF156082"/>
        <rFont val="Aptos Narrow"/>
        <scheme val="minor"/>
      </rPr>
      <t xml:space="preserve">Wnioski: 
</t>
    </r>
    <r>
      <rPr>
        <sz val="11"/>
        <color rgb="FF000000"/>
        <rFont val="Aptos Narrow"/>
        <scheme val="minor"/>
      </rPr>
      <t>-W badanym okresie (2022–2024) spółka odnotowała bardzo silny wzrost przychodów ze sprzedaży -o 46,68% w 2023 roku i o kolejne 5,56% w 2024 roku. 
-Tempo wzrostu kosztów własnych sprzedaży w 2024 roku (8,91%) było wyższe niż tempo wzrostu przychodów (5,56%), co skutkowało spadkiem zysku netto o 22,23% r/r.
-Suma bilansowa wzrosła w ciągu dwóch lat o ponad 60% (z 144 mln zł do 231 mln zł), co napędzane było głównie przez dynamiczny przyrost aktywów obrotowych.
-Najbardziej dynamicznie rosnącą pozycją w pasywach są zobowiązania krótkoterminowe, które wzrosły o 31,40% w ostatnim roku (z 93,7 mln zł do 123,1 mln zł). Tak szybki przyrost długu bieżącego, przy jednoczesnym wzroście zapasów i należności, sugeruje, że spółka w dużym stopniu finansuje swoją ekspansję operacyjną darmowym kredytem kupieckim lub krótkoterminowymi liniami kredytowymi.</t>
    </r>
  </si>
  <si>
    <t>PP netto z działalności operacyjnej</t>
  </si>
  <si>
    <t>PP netto z działalności inwestycyjnej</t>
  </si>
  <si>
    <t>PP netto z działalności finansowej</t>
  </si>
  <si>
    <t>2. Analiza pionowa</t>
  </si>
  <si>
    <t>Wskaźnik / rok</t>
  </si>
  <si>
    <r>
      <rPr>
        <i/>
        <sz val="11"/>
        <color theme="4"/>
        <rFont val="Aptos Narrow"/>
        <family val="2"/>
        <scheme val="minor"/>
      </rPr>
      <t>Wnioski :</t>
    </r>
    <r>
      <rPr>
        <sz val="11"/>
        <color theme="1"/>
        <rFont val="Aptos Narrow"/>
        <family val="2"/>
        <charset val="238"/>
        <scheme val="minor"/>
      </rPr>
      <t xml:space="preserve">
- Struktura aktywów charakteryzuje się dominacją majątku obrotowego, którego udział wzrósł z 65,03% w 2022 r. do 75,66% w 2024 r. Jest to typowe dla branży IT, gdzie kluczowe są zasoby ludzkie i bieżące kontrakty, a nie ciężka infrastruktura.
-Zmiana struktury finansowania -  Udział kapitału własnego w pasywach ogółem systematycznie spada (z 48,61% do 37,14%), co wskazuje na coraz większe posiłkowanie się kapitałem obcym.
-Udział zysku netto w przychodach spadł w ostatnim roku z 4,56% do 3,36%, co potwierdza presję rosnących kosztów na marże spółki.
-Mimo dynamicznego wzrostu przychodów w badanym okresie, udział zysku operacyjnego (EBIT) w przychodach netto uległ znacznemu pogorszeniu, spadając z 5,95% w 2023 r. do zaledwie 3,87% w 2024 r. Wskazuje to na spadek rentowności podstawowej działalności operacyjnej i sugeruje konieczność głębszej analizy kosztów zarządu lub sprzedaży, które rosły szybciej niż wypracowana marża brutto.</t>
    </r>
  </si>
  <si>
    <t>Struktura aktywów/ pasywów</t>
  </si>
  <si>
    <t>Udział aktywów trwałych w aktywach ogółem</t>
  </si>
  <si>
    <t>Udział aktywów obrotowych w aktywach ogółem</t>
  </si>
  <si>
    <t>Udział kapitału wł. w pasywach ogółem</t>
  </si>
  <si>
    <t>Udział kapitałów obcych w pasywach ogółem</t>
  </si>
  <si>
    <t>Struktura kosztów / wyników</t>
  </si>
  <si>
    <t>Stosunek kosztu wł. do przychodów netto ze sprzedaży</t>
  </si>
  <si>
    <t>Stosunek zysku brutto do przychodów netto ze sprzedaży</t>
  </si>
  <si>
    <t>Stosunek zysku na działalności op. do przychodów netto ze sprzedaży (EBIT)</t>
  </si>
  <si>
    <t>Stosunek zysku netto do przychodów netto ze sprzedaży</t>
  </si>
  <si>
    <t>3. Analiza pionowo - pozioma</t>
  </si>
  <si>
    <r>
      <rPr>
        <i/>
        <sz val="11"/>
        <color theme="4"/>
        <rFont val="Aptos Narrow"/>
        <family val="2"/>
        <scheme val="minor"/>
      </rPr>
      <t>Wnioski:</t>
    </r>
    <r>
      <rPr>
        <sz val="11"/>
        <color theme="1"/>
        <rFont val="Aptos Narrow"/>
        <family val="2"/>
        <charset val="238"/>
        <scheme val="minor"/>
      </rPr>
      <t xml:space="preserve">
-Złota Reguła Bilansowa: Spółka w całym badanym okresie spełnia Złotą Regułę Bilansową (wskaźnik powyżej 1,0), osiągając w 2024 r. poziom 1,53. Oznacza to, że aktywa trwałe są w całości finansowane najbardziej stabilnym kapitałem własnym.
-Srebrna Reguła Bilansowa: Wskaźnik pokrycia aktywów trwałych kapitałem stałym wynosi 1,93 w 2024 r. Tak wysoki poziom zapewnia spółce bardzo duże bezpieczeństwo finansowe i długoterminową stabilność.
- Kapitał stały z dużym marginesem finansuje majątek trwały, co pozwala na finansowanie części aktywów obrotowych bezpiecznymi źródłami długoterminowymi.</t>
    </r>
  </si>
  <si>
    <t>Reguła</t>
  </si>
  <si>
    <t>Wzór</t>
  </si>
  <si>
    <t>Złota Reguła Bilansowa</t>
  </si>
  <si>
    <t>Kapitał wł. / aktywa trwałe</t>
  </si>
  <si>
    <t>Srebrna Reguła Bilansowa</t>
  </si>
  <si>
    <t>(Kapitał wł. + zob. dł.) / aktywa trwałe</t>
  </si>
  <si>
    <t>4. Wstępna analiza przepływów pieniężnych</t>
  </si>
  <si>
    <t>Wnioski?</t>
  </si>
  <si>
    <t>Rok</t>
  </si>
  <si>
    <t>Dz operacyjna</t>
  </si>
  <si>
    <t>Dz inwestycyjna</t>
  </si>
  <si>
    <t>Dz finansowa</t>
  </si>
  <si>
    <t>Wariant</t>
  </si>
  <si>
    <t>+</t>
  </si>
  <si>
    <t>IV</t>
  </si>
  <si>
    <t>Działalność operacyjna generuje gotówkę,  spółka inwestuje, finansuje inwestycje i zwrot kapitału z własnej działalności. Jest to zdrowa sytuacja finansowa rosnącej firmy</t>
  </si>
  <si>
    <t>III</t>
  </si>
  <si>
    <t>Faza wzrostu,  działalność operacyjna dalej generuje gotówkę, spółka dalej inwestuje ale korzysta dodatkowo z finansowania zewnętrznego</t>
  </si>
  <si>
    <t>Powrót do samofinansowania. Firma wraca do finansowania inwestycji z własnej operacyjnej. Wskazuje to na silną generację gotówki.</t>
  </si>
  <si>
    <t>Wynik netto</t>
  </si>
  <si>
    <t>PP netto</t>
  </si>
  <si>
    <t>Wnioski:</t>
  </si>
  <si>
    <t>I</t>
  </si>
  <si>
    <t>Analiza pomiędzy wynikiem finansowym netto a PP neto, pokazuje, że w danych latach spółka funkcjonowała w wariancie I. Oznacza to, że dodatni wynik finansowy był potwierdzony dodatnimi przepływami pieniężnymi netto, co świadczy o wysokiej jakości generowanego zysku oraz dobrej zdolności spółki do generowania gotówki. Taki układ jest uznawany za najbardziej korzystny z punktu widzenia stabilności finansowej przedsiębiorstwa.</t>
  </si>
  <si>
    <r>
      <rPr>
        <i/>
        <sz val="11"/>
        <color theme="4"/>
        <rFont val="Aptos Narrow"/>
        <family val="2"/>
        <scheme val="minor"/>
      </rPr>
      <t>Podsumowanie Analizy Wstępnej (Wnioski Końcowe)</t>
    </r>
    <r>
      <rPr>
        <sz val="11"/>
        <color theme="1"/>
        <rFont val="Aptos Narrow"/>
        <family val="2"/>
        <charset val="238"/>
        <scheme val="minor"/>
      </rPr>
      <t xml:space="preserve">
Przeprowadzona analiza wstępna sprawozdań finansowych Atende S.A. za lata 2022-2024 pozwala na sformułowanie następujących wniosków dotyczących kondycji finansowej spółki:
Dynamiczny wzrost skali i zmiana modelu majątkowego: Spółka znajduje się w fazie intensywnego wzrostu, o czym świadczy przyrost przychodów o blisko 50% w 2023 roku i dalsza progresja w 2024 roku. Towarzyszy temu silne "odmłodzenie" struktury aktywów -udział aktywów obrotowych wzrósł z 65% do blisko 76%, co wskazuje na wysoką elastyczność operacyjną typową dla sektora IT.
Presja kosztowa na wyniki rentowności: Mimo wzrostu sprzedaży, obserwowalny jest negatywny trend w zakresie marż. W 2024 roku koszty własne sprzedaży rosły szybciej niż przychody (8,91% vs 5,56%), co przełożyło się na spadek zysku netto o 22% r/r oraz obniżenie rentowności netto sprzedaży z 4,56% do 3,36%.
Wysokie bezpieczeństwo finansowe: Spółka charakteryzuje się bardzo bezpieczną strukturą kapitałowo-majątkową. Przez cały badany okres spełniana jest Złota Reguła Bilansowa (wskaźnik 1,53 w 2024 r.), co oznacza, że majątek trwały jest w nadmiarze finansowany stabilnym kapitałem własnym.
Zdrowa struktura przepływów pieniężnych: Analiza Cash Flow potwierdza silną pozycję gotówkową spółki. Powrót do Wariantu IV (+, -, -) w 2024 roku świadczy o pełnej zdolności do samofinansowania - firma generuje wystarczającą ilość gotówki z działalności operacyjnej, aby pokryć wydatki inwestycyjne oraz spłacić zobowiązania finansowe.
Wzrost finansowania zewnętrznego: Odnotowano wyraźny wzrost udziału kapitałów obcych w pasywach (z 51% do blisko 63%), co przy jednoczesnym dynamicznym wzroście zobowiązań krótkoterminowych (o 31% w 2024 r.) wymaga monitorowania płynności w kolejnym etapie analizy.</t>
    </r>
  </si>
  <si>
    <t>Typ wskaźnika</t>
  </si>
  <si>
    <t>Nazwa wskaźnika</t>
  </si>
  <si>
    <t>Sposób wyliczenia</t>
  </si>
  <si>
    <t>Wskaźnik ustalony za:</t>
  </si>
  <si>
    <t>Spółka 2022</t>
  </si>
  <si>
    <t>Sektor 2022</t>
  </si>
  <si>
    <t>Spółka 2023</t>
  </si>
  <si>
    <t>Sektor 2023</t>
  </si>
  <si>
    <t>Spółka 2024</t>
  </si>
  <si>
    <t>Wskaźniki rentowności</t>
  </si>
  <si>
    <t>Rentowność operacyjna aktywów</t>
  </si>
  <si>
    <t>wynik z działalności operacyjnej*100/średnioroczny stan aktywów ogółem</t>
  </si>
  <si>
    <t>Rentowność kapitału własnego</t>
  </si>
  <si>
    <t>wynik netto*100/średnioroczny stan kapitału własnego</t>
  </si>
  <si>
    <t>Rentowność sprzedaży netto</t>
  </si>
  <si>
    <t>wynik netto*100/przychody ogółem</t>
  </si>
  <si>
    <t>Rentowność sprzedaży</t>
  </si>
  <si>
    <t>wynik ze sprzedaży*100/przychody netto ze sprzedaży produktów,towarów i materiałów</t>
  </si>
  <si>
    <t>Rentowność ekonomiczna sprzedaży</t>
  </si>
  <si>
    <t>(wynik z działalności operacyjnej+amortyzajca)*100/wynik ze sprzedaży*100/przychody ze sprzedaży produktów, towarów i materiałów + pozostałe przychody operacyjne</t>
  </si>
  <si>
    <t>Wskaźniki płynności finansowej</t>
  </si>
  <si>
    <t>Płynność bieżąca(płynność finansowa I stopnia)</t>
  </si>
  <si>
    <t>aktywa obrotowe ogółem (bez należności z tytułu dostaw i usług o okresie spłaty powyżej 12 mies.) /
zobowiązania krótkoterminowe3 (bez zobowiązań z tytułu dostaw i usług o okresie wymagalności
powyżej 12 mies.)</t>
  </si>
  <si>
    <t>Płynność szybka
( płynność finansowa
II stopnia)</t>
  </si>
  <si>
    <t>aktywa obrotowe ogółem (bez należności z tytułu dostaw i usług o okresie spłaty powyżej 12 mies.) -
zapasy - krótkoterminowe rozliczenia międzyokresowe /
zobowiązania krótkoterminowe3 (bez zobowiązań z tytułu dostaw i usług o okresie wymagalności
powyżej 12 mies.)</t>
  </si>
  <si>
    <t>Płynność gotówkowa
(płynność finansowa
III stopnia)</t>
  </si>
  <si>
    <t>inwestycje krótkoterminowe /
zobowiązania krótkoterminowe3 (bez zobowiązań z tytułu dostaw i usług o okresie wymagalności
powyżej 12 mies.)</t>
  </si>
  <si>
    <t>Wskaźniki sprawności działania (Rotacja)</t>
  </si>
  <si>
    <t>Rotacja aktywów ogółem</t>
  </si>
  <si>
    <t>przychody netto ze sprzedaży/ 
przeciętny stan aktywów ogółem</t>
  </si>
  <si>
    <t>Rotacja zapasów (krotność)</t>
  </si>
  <si>
    <t>przychody netto ze sprzedaży/ 
średni stan zapasów</t>
  </si>
  <si>
    <t>Rotacja należności (krotność)</t>
  </si>
  <si>
    <t>przychody netto ze sprzedaży/
 średni stan należności</t>
  </si>
  <si>
    <t>Okres spływu należności</t>
  </si>
  <si>
    <t>średnioroczny stan ogółu należności z tytułu dostaw i usług x 365 / 
przychody ze sprzedaży produktów, towarów i materiałów</t>
  </si>
  <si>
    <t>Okres spłaty zobowiązań</t>
  </si>
  <si>
    <t>średnioroczny stan ogółu zobowiązań z tytułu dostaw i usług x 365 / 
przychody ze sprzedaży produktów, towarów i materiałów</t>
  </si>
  <si>
    <t>Szybkość obrotu zapasów</t>
  </si>
  <si>
    <t>średnioroczny stan zapasów x 365 /
przychody ze sprzedaży produktów, towarów i materiałów</t>
  </si>
  <si>
    <t>Wskaźniki zadłużenia</t>
  </si>
  <si>
    <t>Pokrycie aktywów trwałych
kapitałem własnym i rezerwami
długoterminowymi</t>
  </si>
  <si>
    <t xml:space="preserve">kapitał (fundusz) własny + rezerwy długoterminowe / 
aktywa trwałe + należności z tytułu dostaw i usług o okresie spłaty powyżej 12 mies </t>
  </si>
  <si>
    <t>Trwałość struktury finansowania</t>
  </si>
  <si>
    <t>kapitał (fundusz) własny + rezerwy długoterminowe + zobowiązania długoterminowe
(łącznie z zobowiązaniami8 z tytułu dostaw i usług powyżej 12 mies.)/
aktywa ogółem</t>
  </si>
  <si>
    <t>Ogólne zadłużenie</t>
  </si>
  <si>
    <t>zobowiązania i rezerwy na zobowiązania x 100 / 
aktywa ogółem</t>
  </si>
  <si>
    <t>Wskaźnik pokrycia odsetek (statyczny)</t>
  </si>
  <si>
    <t>Zysk przed opodatkowaniem + Odsetki /
 Odsetki</t>
  </si>
  <si>
    <t>Zadłużenie kapitału własnego:</t>
  </si>
  <si>
    <t>Zobowiązania ogółem / 
kapitał własny</t>
  </si>
  <si>
    <t>Wskaźniki dynamiczne (Cash Flow)</t>
  </si>
  <si>
    <t>Wydajność gotówkowa sprzedaży</t>
  </si>
  <si>
    <t>Przepływy pieniężne netto z działalności operacyjnej / 
Przychody netto ze sprzedaży</t>
  </si>
  <si>
    <t>Wydajność gotówkowa zysku</t>
  </si>
  <si>
    <t>Przepływy pieniężne netto z działalności operacyjnej​ / 
Zysk netto</t>
  </si>
  <si>
    <t>Wskaźnik ogólnej wystarczalności gotówki</t>
  </si>
  <si>
    <t>Przepływy pieniężne netto z działalności operacyjnej / 
( Wydatki inwestycyjne + dywidendy + spłąty zobowiązań finansowych)</t>
  </si>
  <si>
    <r>
      <rPr>
        <i/>
        <sz val="11"/>
        <color rgb="FF156082"/>
        <rFont val="Aptos Narrow"/>
      </rPr>
      <t xml:space="preserve">Podsumowanie analizy wskaźnikowej:
</t>
    </r>
    <r>
      <rPr>
        <u/>
        <sz val="11"/>
        <color rgb="FF000000"/>
        <rFont val="Aptos Narrow"/>
      </rPr>
      <t xml:space="preserve">1. Rentowność 
</t>
    </r>
    <r>
      <rPr>
        <sz val="11"/>
        <color rgb="FF000000"/>
        <rFont val="Aptos Narrow"/>
      </rPr>
      <t xml:space="preserve">Rok 2022 był wyraźnie słaby, prawie wszystkie wskaźniki rentowności były wyjątkowo niskie, mogło być to spowodowane na przykład wysokimi kosztami bądź niekorzystną sytuacją rynkową.  Rentowność sprzedaży na poziomie 19.3% wskazuje jednak, że marża na sprzedaży była opłacalna.  Sytuacja zmieniła się w 2023 roku gdzie obserwujemy skok wskaźników, co świadczy o błyskawicznej poprawie efektywności zarządzania i operacji.  Przyczyną mogło być:  wysokomarżowe rynki, radykalna optymalizacja kosztów (restrukturyzacja) lub zakończenie kosztownych inwestycji, które zaczęły przynosić efekty. Spadek wskaźników w 2024 roku (choć wciąż wysoki) jest naturalnym zjawiskiem po roku rekordowym. 
Porównanie z sektorem:
Mimo poprawy, Atende nadal operuje na marżach niższych niż średnia w branży IT. Wskazuje to na specyfikę modelu Atende (integracja systemów), który jest kapitałochłonny i cechuje się wyższą bazą kosztową niż typowe firmy "czysto" programistyczne.
</t>
    </r>
    <r>
      <rPr>
        <u/>
        <sz val="11"/>
        <color rgb="FF000000"/>
        <rFont val="Aptos Narrow"/>
      </rPr>
      <t xml:space="preserve">2. Wskaźniki płynności finansowej
</t>
    </r>
    <r>
      <rPr>
        <sz val="11"/>
        <color rgb="FF000000"/>
        <rFont val="Aptos Narrow"/>
      </rPr>
      <t xml:space="preserve">W latach 2022 i 2023 płynność bieżąca i szybka utrzymywały się na bezpiecznym, stabilnym poziomie, co gwarantowało zdolność do terminowego regulowania zobowiązań. Nawet w trudnym 2022 roku firma nie traciła kontroli nad kapitałem obrotowym netto.  Wskaźnik płynności gotówkowej, który w poprzednich latach wskazywał na umiarkowany poziom gotówki (0.2-0.3), w 2024 roku wzrósł gwałtownie do poziomu 1.88. Oznacza to, że firma zgromadziła bardzo duże wolne środki pieniężne, które niemal dwukrotnie pokrywają jej bieżące zobowiązania.  Przyczyna: firma prawdopodobnie odroczyła duże wydatki inwestycyjne, sprzedała nieużywane aktywa, lub świetnie zarządza kapitałem obrotowym.
Porównanie z sektorem:
Choć Atende ma niższy wskaźnik bieżący niż średnia sektora, jego obecna struktura płynności jest znacznie zdrowsza i mniej ryzykowna - atende efektywniej wykorzystuje kapitał, zachowując przy tym bezpieczną ilość pieniędzy w gotówce.
</t>
    </r>
    <r>
      <rPr>
        <u/>
        <sz val="11"/>
        <color rgb="FF000000"/>
        <rFont val="Aptos Narrow"/>
      </rPr>
      <t xml:space="preserve">3. Wskaźniki sprawności działania
</t>
    </r>
    <r>
      <rPr>
        <sz val="11"/>
        <color rgb="FF000000"/>
        <rFont val="Aptos Narrow"/>
      </rPr>
      <t xml:space="preserve">Wskaźniki  rotacji aktywów ogółem, zapasów, należności wzrastają z każdym rokiem, w szczególności między rokiem 2022 a 2023.Jednoczesny wzrost rotacji aktywów, należności i zapasów świadczy o tym, że firma skróciła swój cykl operacyjny. Pozwala to na szybsze uwalnianie gotówki zamrożonej w działalności, co potwierdza gwałtowny wzrost płynności gotówkowej w 2024 roku (do poziomu 1,88). Jest to oznaka zdrowego rozwoju i bardzo wysokiej sprawności logistyczno-finansowej na tle sektora IT.  Jednocześnie firma sama znacząco wydłużyła okres spłaty swoich zobowiązań wobec dostawców, co jest skutecznym, choć ryzykownym, źródłem darmowego finansowania kapitału obrotowego. Pozytywnym zjawiskiem jest natomiast radykalne skrócenie okresu magazynowania zapasów , co świadczy o bardzo efektywnej logistyce i zarządzaniu łańcuchem dostaw.
Porównanie z sektorem:
Atende zarządza zapasami znacznie sprawniej niż branża (24dni - 4 dni). Dodatkowo firma finansuje pieniędzmi dostawców (cykl spłaty 70 dni przy średniej sektorowej 27 dni), co jest strategiczną przewagą w zarządzaniu kapitałem obrotowym.
</t>
    </r>
    <r>
      <rPr>
        <u/>
        <sz val="11"/>
        <color rgb="FF000000"/>
        <rFont val="Aptos Narrow"/>
      </rPr>
      <t xml:space="preserve">4. Wskaźniki zadłużenia
</t>
    </r>
    <r>
      <rPr>
        <sz val="11"/>
        <color rgb="FF000000"/>
        <rFont val="Aptos Narrow"/>
      </rPr>
      <t xml:space="preserve">Wskaźnik ogólnego zadłużenia konsekwentnie spadał z 54.3% w 2022 roku do 46.9% w 2024 roku. Oznacza to, że udział kapitałów obcych w finansowaniu aktywów maleje, a firma staje się mniej zależna od wierzycieli, co zwiększa jej stabilność finansową. Wskaźnik pokrycia aktywów trwałych kapitałami stałymi rośnie z 1,41 do 1,54, co oznacza, że firma w pełni finansuje swój majątek trwały (grunty, maszyny) stabilnymi, długoterminowymi źródłami, takimi jak kapitał własny i rezerwy.  Jest to korzystne zjawisko, potwierdzające przestrzeganie tzw. "złotej reguły bankowej".  Mimo to, wskaźnik zadłużenia kapitału własnego wzrósł znacząco i maleje długoterminowy udział stabilnych źródeł w finansowaniu ogółem.
Porównanie z sektorem:
Zadłużenie Atende jest wyższe niż średnia branżowa (35,27%), jednak przy tak wysokim pokryciu odsetek zyskiem (13,38x) nie stanowi to zagrożenia, lecz świadczy o odważnym finansowaniu rozwoju
</t>
    </r>
    <r>
      <rPr>
        <u/>
        <sz val="11"/>
        <color rgb="FF000000"/>
        <rFont val="Aptos Narrow"/>
      </rPr>
      <t xml:space="preserve">5.Wskaźniki dynamiczne
</t>
    </r>
    <r>
      <rPr>
        <sz val="11"/>
        <color rgb="FF000000"/>
        <rFont val="Aptos Narrow"/>
      </rPr>
      <t>Przepływy pieniężne firmy systematycznie się wzmacniają. Z działalności operacyjnej generuje ona coraz więcej gotówki w stosunku do osiąganych przychodów, a jednocześnie zysk netto coraz lepiej przekłada się na realny wpływ środków. Firma jest samowystarczalna finansowo. Środki z działalności operacyjnej w pełni pokrywają jej wydatki inwestycyjne, ewentualne dywidendy oraz spłaty zobowiązań, co eliminuje potrzebę zewnętrznego finansowania tych celów i świadczy o dużej sile finansowej.</t>
    </r>
  </si>
  <si>
    <t>Kryterium oceny</t>
  </si>
  <si>
    <t>Opis</t>
  </si>
  <si>
    <t>Punkty (1-5)</t>
  </si>
  <si>
    <t>Komentarz</t>
  </si>
  <si>
    <t>Wskaźniki</t>
  </si>
  <si>
    <t>Poprawne formuły i ustalone wartości</t>
  </si>
  <si>
    <t>Wnioski cząstkowe</t>
  </si>
  <si>
    <t>Poprawna interpretacja wyników, porównanie branżowe</t>
  </si>
  <si>
    <t>Wizualizacje</t>
  </si>
  <si>
    <t>Czytelność i jakość merytoryczna wykresów, tabel, rysunków</t>
  </si>
  <si>
    <t>Są wykresy, które przedstawiaja czytelnie dane</t>
  </si>
  <si>
    <t>Wnioski końcowe i rekomendacje</t>
  </si>
  <si>
    <t xml:space="preserve">Wskazanie problemu i praktyczne sugestie </t>
  </si>
  <si>
    <t>Brak wiekszych problemów spółki</t>
  </si>
  <si>
    <t xml:space="preserve">Ocena końcowa </t>
  </si>
  <si>
    <t>Suma uzyskanych punktów</t>
  </si>
  <si>
    <t>Sprawdzilismy po 2 wskazniki z kazdego typu</t>
  </si>
  <si>
    <t>Szczegolowa interpretacja kazdej czesci, na kazdym etapie porownanie branzowe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</si>
</sst>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zł&quot;_-;\-* #,##0.00\ &quot;zł&quot;_-;_-* &quot;-&quot;??\ &quot;zł&quot;_-;_-@_-"/>
  </numFmts>
  <fonts count="28" x14ac:knownFonts="1">
    <font>
      <sz val="11"/>
      <color theme="1"/>
      <name val="Aptos Narrow"/>
      <family val="2"/>
      <charset val="238"/>
      <scheme val="minor"/>
    </font>
    <font>
      <b/>
      <sz val="11"/>
      <color theme="1"/>
      <name val="Aptos Narrow"/>
      <family val="2"/>
      <scheme val="minor"/>
    </font>
    <font>
      <b/>
      <sz val="11"/>
      <color theme="4" tint="-0.249977111117893"/>
      <name val="Aptos Narrow"/>
      <family val="2"/>
      <scheme val="minor"/>
    </font>
    <font>
      <b/>
      <sz val="11"/>
      <color theme="8" tint="-0.249977111117893"/>
      <name val="Aptos Narrow"/>
      <family val="2"/>
      <scheme val="minor"/>
    </font>
    <font>
      <sz val="11"/>
      <color theme="1"/>
      <name val="Aptos Narrow"/>
      <family val="2"/>
      <scheme val="minor"/>
    </font>
    <font>
      <b/>
      <sz val="11"/>
      <color theme="1"/>
      <name val="Aptos Narrow"/>
      <family val="2"/>
      <charset val="238"/>
      <scheme val="minor"/>
    </font>
    <font>
      <sz val="8"/>
      <name val="Aptos Narrow"/>
      <family val="2"/>
      <charset val="238"/>
      <scheme val="minor"/>
    </font>
    <font>
      <sz val="12"/>
      <color rgb="FF000000"/>
      <name val="Aptos Narrow"/>
      <scheme val="minor"/>
    </font>
    <font>
      <sz val="12"/>
      <color theme="1"/>
      <name val="Aptos Narrow"/>
      <family val="2"/>
      <charset val="238"/>
      <scheme val="minor"/>
    </font>
    <font>
      <sz val="11"/>
      <color rgb="FF000000"/>
      <name val="Aptos Narrow"/>
      <family val="2"/>
      <charset val="238"/>
      <scheme val="minor"/>
    </font>
    <font>
      <i/>
      <sz val="14"/>
      <color rgb="FF156082"/>
      <name val="Aptos Narrow"/>
      <scheme val="minor"/>
    </font>
    <font>
      <sz val="11"/>
      <color theme="1"/>
      <name val="Aptos Narrow"/>
      <family val="2"/>
      <charset val="238"/>
      <scheme val="minor"/>
    </font>
    <font>
      <b/>
      <sz val="11"/>
      <color theme="4" tint="-0.249977111117893"/>
      <name val="Aptos Narrow"/>
      <family val="2"/>
      <charset val="238"/>
      <scheme val="minor"/>
    </font>
    <font>
      <b/>
      <sz val="12"/>
      <color theme="1"/>
      <name val="Aptos Narrow"/>
      <family val="2"/>
      <charset val="238"/>
      <scheme val="minor"/>
    </font>
    <font>
      <b/>
      <sz val="11"/>
      <color theme="4"/>
      <name val="Aptos Narrow"/>
      <family val="2"/>
      <charset val="238"/>
      <scheme val="minor"/>
    </font>
    <font>
      <b/>
      <sz val="12"/>
      <color theme="1"/>
      <name val="Aptos Narrow"/>
      <family val="2"/>
      <scheme val="minor"/>
    </font>
    <font>
      <i/>
      <sz val="11"/>
      <color theme="4"/>
      <name val="Aptos Narrow"/>
      <family val="2"/>
      <scheme val="minor"/>
    </font>
    <font>
      <b/>
      <sz val="16"/>
      <color theme="1"/>
      <name val="Aptos Narrow"/>
      <family val="2"/>
      <scheme val="minor"/>
    </font>
    <font>
      <i/>
      <sz val="11"/>
      <color theme="4"/>
      <name val="Aptos Narrow"/>
      <family val="2"/>
      <charset val="238"/>
      <scheme val="minor"/>
    </font>
    <font>
      <i/>
      <sz val="11"/>
      <color rgb="FF156082"/>
      <name val="Aptos Narrow"/>
    </font>
    <font>
      <sz val="11"/>
      <color rgb="FF000000"/>
      <name val="Aptos Narrow"/>
    </font>
    <font>
      <sz val="11"/>
      <color theme="1"/>
      <name val="Aptos Narrow"/>
    </font>
    <font>
      <u/>
      <sz val="11"/>
      <color rgb="FF000000"/>
      <name val="Aptos Narrow"/>
    </font>
    <font>
      <sz val="10"/>
      <color rgb="FFE3E3E3"/>
      <name val="Arial"/>
    </font>
    <font>
      <b/>
      <sz val="11"/>
      <color rgb="FF000000"/>
      <name val="Times New Roman"/>
      <family val="1"/>
      <charset val="238"/>
    </font>
    <font>
      <sz val="11"/>
      <color rgb="FF000000"/>
      <name val="Times New Roman"/>
      <family val="1"/>
      <charset val="238"/>
    </font>
    <font>
      <i/>
      <sz val="11"/>
      <color rgb="FF156082"/>
      <name val="Aptos Narrow"/>
      <scheme val="minor"/>
    </font>
    <font>
      <sz val="11"/>
      <color rgb="FF000000"/>
      <name val="Aptos Narrow"/>
      <scheme val="minor"/>
    </font>
  </fonts>
  <fills count="11">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59999389629810485"/>
        <bgColor indexed="64"/>
      </patternFill>
    </fill>
  </fills>
  <borders count="5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right/>
      <top/>
      <bottom style="thin">
        <color theme="1"/>
      </bottom>
      <diagonal/>
    </border>
    <border>
      <left/>
      <right style="thin">
        <color theme="1"/>
      </right>
      <top/>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indexed="64"/>
      </left>
      <right style="thin">
        <color theme="1"/>
      </right>
      <top/>
      <bottom style="thin">
        <color indexed="64"/>
      </bottom>
      <diagonal/>
    </border>
    <border>
      <left style="thin">
        <color theme="1"/>
      </left>
      <right/>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4"/>
      </left>
      <right style="thin">
        <color theme="4"/>
      </right>
      <top style="thin">
        <color theme="4"/>
      </top>
      <bottom style="thin">
        <color theme="4"/>
      </bottom>
      <diagonal/>
    </border>
    <border>
      <left/>
      <right style="thin">
        <color rgb="FF000000"/>
      </right>
      <top/>
      <bottom/>
      <diagonal/>
    </border>
    <border>
      <left style="thin">
        <color indexed="64"/>
      </left>
      <right style="thin">
        <color theme="1"/>
      </right>
      <top style="thin">
        <color indexed="64"/>
      </top>
      <bottom style="thin">
        <color indexed="64"/>
      </bottom>
      <diagonal/>
    </border>
    <border>
      <left/>
      <right style="thin">
        <color theme="4"/>
      </right>
      <top style="thin">
        <color theme="4"/>
      </top>
      <bottom/>
      <diagonal/>
    </border>
    <border>
      <left style="thin">
        <color rgb="FF000000"/>
      </left>
      <right style="thin">
        <color rgb="FF000000"/>
      </right>
      <top/>
      <bottom/>
      <diagonal/>
    </border>
    <border>
      <left/>
      <right/>
      <top style="thin">
        <color theme="4"/>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86">
    <xf numFmtId="0" fontId="0" fillId="0" borderId="0" xfId="0"/>
    <xf numFmtId="3" fontId="0" fillId="0" borderId="0" xfId="0" applyNumberFormat="1"/>
    <xf numFmtId="0" fontId="1" fillId="0" borderId="0" xfId="0" applyFont="1" applyAlignment="1">
      <alignment horizontal="center"/>
    </xf>
    <xf numFmtId="0" fontId="4" fillId="0" borderId="0" xfId="0" applyFont="1" applyAlignment="1">
      <alignment horizontal="center"/>
    </xf>
    <xf numFmtId="0" fontId="0" fillId="0" borderId="2" xfId="0" applyBorder="1"/>
    <xf numFmtId="0" fontId="0" fillId="0" borderId="3" xfId="0" applyBorder="1"/>
    <xf numFmtId="0" fontId="0" fillId="0" borderId="4" xfId="0" applyBorder="1"/>
    <xf numFmtId="0" fontId="2" fillId="0" borderId="2" xfId="0" applyFont="1" applyBorder="1"/>
    <xf numFmtId="0" fontId="0" fillId="2" borderId="2" xfId="0" applyFill="1" applyBorder="1"/>
    <xf numFmtId="0" fontId="0" fillId="2" borderId="4" xfId="0" applyFill="1" applyBorder="1"/>
    <xf numFmtId="3" fontId="0" fillId="0" borderId="2" xfId="0" applyNumberFormat="1" applyBorder="1"/>
    <xf numFmtId="3" fontId="0" fillId="0" borderId="5" xfId="0" applyNumberFormat="1" applyBorder="1"/>
    <xf numFmtId="3" fontId="0" fillId="0" borderId="6" xfId="0" applyNumberFormat="1" applyBorder="1"/>
    <xf numFmtId="3" fontId="0" fillId="0" borderId="7" xfId="0" applyNumberFormat="1" applyBorder="1"/>
    <xf numFmtId="3" fontId="0" fillId="0" borderId="8" xfId="0" applyNumberFormat="1" applyBorder="1"/>
    <xf numFmtId="3" fontId="0" fillId="0" borderId="9" xfId="0" applyNumberFormat="1" applyBorder="1"/>
    <xf numFmtId="3" fontId="0" fillId="0" borderId="10" xfId="0" applyNumberFormat="1" applyBorder="1"/>
    <xf numFmtId="3" fontId="0" fillId="2" borderId="2" xfId="0" applyNumberFormat="1" applyFill="1" applyBorder="1"/>
    <xf numFmtId="0" fontId="3" fillId="3" borderId="2" xfId="0" applyFont="1" applyFill="1" applyBorder="1"/>
    <xf numFmtId="3" fontId="0" fillId="3" borderId="2" xfId="0" applyNumberFormat="1" applyFill="1" applyBorder="1"/>
    <xf numFmtId="0" fontId="2" fillId="2" borderId="5" xfId="0" applyFont="1" applyFill="1" applyBorder="1"/>
    <xf numFmtId="3" fontId="0" fillId="2" borderId="11" xfId="0" applyNumberFormat="1" applyFill="1" applyBorder="1"/>
    <xf numFmtId="3" fontId="0" fillId="2" borderId="6" xfId="0" applyNumberFormat="1" applyFill="1" applyBorder="1"/>
    <xf numFmtId="0" fontId="0" fillId="0" borderId="7" xfId="0" applyBorder="1"/>
    <xf numFmtId="0" fontId="1" fillId="0" borderId="9" xfId="0" applyFont="1" applyBorder="1"/>
    <xf numFmtId="3" fontId="0" fillId="0" borderId="1" xfId="0" applyNumberFormat="1" applyBorder="1"/>
    <xf numFmtId="0" fontId="0" fillId="2" borderId="11" xfId="0" applyFill="1" applyBorder="1"/>
    <xf numFmtId="0" fontId="0" fillId="2" borderId="6" xfId="0" applyFill="1" applyBorder="1"/>
    <xf numFmtId="0" fontId="0" fillId="0" borderId="9" xfId="0" applyBorder="1"/>
    <xf numFmtId="0" fontId="0" fillId="0" borderId="12" xfId="0" applyBorder="1"/>
    <xf numFmtId="3" fontId="0" fillId="0" borderId="13" xfId="0" applyNumberFormat="1" applyBorder="1"/>
    <xf numFmtId="3" fontId="0" fillId="0" borderId="14" xfId="0" applyNumberFormat="1" applyBorder="1"/>
    <xf numFmtId="0" fontId="0" fillId="0" borderId="13" xfId="0" applyBorder="1"/>
    <xf numFmtId="0" fontId="0" fillId="0" borderId="14" xfId="0" applyBorder="1"/>
    <xf numFmtId="0" fontId="1" fillId="0" borderId="12" xfId="0" applyFont="1" applyBorder="1"/>
    <xf numFmtId="0" fontId="1" fillId="0" borderId="2" xfId="0" applyFont="1" applyBorder="1"/>
    <xf numFmtId="0" fontId="0" fillId="0" borderId="5" xfId="0" applyBorder="1"/>
    <xf numFmtId="3" fontId="0" fillId="0" borderId="11" xfId="0" applyNumberFormat="1" applyBorder="1"/>
    <xf numFmtId="0" fontId="0" fillId="0" borderId="10" xfId="0" applyBorder="1"/>
    <xf numFmtId="0" fontId="0" fillId="4" borderId="0" xfId="0" applyFill="1"/>
    <xf numFmtId="0" fontId="0" fillId="5" borderId="0" xfId="0" applyFill="1"/>
    <xf numFmtId="0" fontId="1" fillId="0" borderId="0" xfId="0" applyFont="1"/>
    <xf numFmtId="0" fontId="1" fillId="5" borderId="0" xfId="0" applyFont="1" applyFill="1"/>
    <xf numFmtId="2" fontId="0" fillId="4" borderId="0" xfId="0" applyNumberFormat="1" applyFill="1"/>
    <xf numFmtId="0" fontId="0" fillId="6" borderId="0" xfId="0" applyFill="1"/>
    <xf numFmtId="2" fontId="0" fillId="6" borderId="0" xfId="0" applyNumberFormat="1" applyFill="1"/>
    <xf numFmtId="0" fontId="0" fillId="7" borderId="0" xfId="0" applyFill="1"/>
    <xf numFmtId="2" fontId="0" fillId="7" borderId="0" xfId="0" applyNumberFormat="1" applyFill="1"/>
    <xf numFmtId="3" fontId="0" fillId="2" borderId="8" xfId="0" applyNumberFormat="1" applyFill="1" applyBorder="1"/>
    <xf numFmtId="0" fontId="0" fillId="0" borderId="24" xfId="0" applyBorder="1"/>
    <xf numFmtId="0" fontId="0" fillId="0" borderId="30" xfId="0" applyBorder="1"/>
    <xf numFmtId="1" fontId="0" fillId="4" borderId="0" xfId="1" applyNumberFormat="1" applyFont="1" applyFill="1" applyAlignment="1">
      <alignment horizontal="left" indent="1"/>
    </xf>
    <xf numFmtId="1" fontId="0" fillId="0" borderId="0" xfId="1" applyNumberFormat="1" applyFont="1" applyAlignment="1">
      <alignment horizontal="left" indent="1"/>
    </xf>
    <xf numFmtId="0" fontId="12" fillId="0" borderId="2" xfId="0" applyFont="1" applyBorder="1"/>
    <xf numFmtId="3" fontId="0" fillId="0" borderId="37" xfId="0" applyNumberFormat="1" applyBorder="1"/>
    <xf numFmtId="3" fontId="0" fillId="2" borderId="12" xfId="0" applyNumberFormat="1" applyFill="1" applyBorder="1"/>
    <xf numFmtId="3" fontId="0" fillId="0" borderId="12" xfId="0" applyNumberFormat="1" applyBorder="1"/>
    <xf numFmtId="10" fontId="0" fillId="0" borderId="37" xfId="0" applyNumberFormat="1" applyBorder="1"/>
    <xf numFmtId="3" fontId="0" fillId="0" borderId="26" xfId="0" applyNumberFormat="1" applyBorder="1"/>
    <xf numFmtId="3" fontId="0" fillId="0" borderId="33" xfId="0" applyNumberFormat="1" applyBorder="1"/>
    <xf numFmtId="10" fontId="0" fillId="0" borderId="33" xfId="0" applyNumberFormat="1" applyBorder="1"/>
    <xf numFmtId="10" fontId="0" fillId="0" borderId="36" xfId="0" applyNumberFormat="1" applyBorder="1"/>
    <xf numFmtId="10" fontId="0" fillId="0" borderId="26" xfId="0" applyNumberFormat="1" applyBorder="1"/>
    <xf numFmtId="0" fontId="5" fillId="0" borderId="2" xfId="0" applyFont="1" applyBorder="1"/>
    <xf numFmtId="3" fontId="0" fillId="0" borderId="34" xfId="0" applyNumberFormat="1" applyBorder="1"/>
    <xf numFmtId="3" fontId="0" fillId="0" borderId="32" xfId="0" applyNumberFormat="1" applyBorder="1"/>
    <xf numFmtId="10" fontId="0" fillId="0" borderId="32" xfId="0" applyNumberFormat="1" applyBorder="1"/>
    <xf numFmtId="10" fontId="0" fillId="0" borderId="34" xfId="0" applyNumberFormat="1" applyBorder="1"/>
    <xf numFmtId="0" fontId="12" fillId="0" borderId="38" xfId="0" applyFont="1" applyBorder="1"/>
    <xf numFmtId="3" fontId="0" fillId="0" borderId="38" xfId="0" applyNumberFormat="1" applyBorder="1"/>
    <xf numFmtId="3" fontId="0" fillId="0" borderId="30" xfId="0" applyNumberFormat="1" applyBorder="1"/>
    <xf numFmtId="3" fontId="0" fillId="2" borderId="38" xfId="0" applyNumberFormat="1" applyFill="1" applyBorder="1"/>
    <xf numFmtId="3" fontId="0" fillId="2" borderId="37" xfId="0" applyNumberFormat="1" applyFill="1" applyBorder="1"/>
    <xf numFmtId="3" fontId="0" fillId="2" borderId="32" xfId="0" applyNumberFormat="1" applyFill="1" applyBorder="1"/>
    <xf numFmtId="3" fontId="0" fillId="0" borderId="24" xfId="0" applyNumberFormat="1" applyBorder="1"/>
    <xf numFmtId="0" fontId="0" fillId="0" borderId="28" xfId="0" applyBorder="1"/>
    <xf numFmtId="0" fontId="0" fillId="2" borderId="39" xfId="0" applyFill="1" applyBorder="1"/>
    <xf numFmtId="0" fontId="0" fillId="0" borderId="2" xfId="0" applyBorder="1" applyAlignment="1">
      <alignment wrapText="1"/>
    </xf>
    <xf numFmtId="3" fontId="0" fillId="4" borderId="2" xfId="0" applyNumberFormat="1" applyFill="1" applyBorder="1"/>
    <xf numFmtId="0" fontId="14" fillId="4" borderId="0" xfId="0" applyFont="1" applyFill="1"/>
    <xf numFmtId="3" fontId="0" fillId="4" borderId="0" xfId="0" applyNumberFormat="1" applyFill="1"/>
    <xf numFmtId="0" fontId="5" fillId="0" borderId="38" xfId="0" applyFont="1" applyBorder="1"/>
    <xf numFmtId="3" fontId="0" fillId="0" borderId="23" xfId="0" applyNumberFormat="1" applyBorder="1"/>
    <xf numFmtId="3" fontId="0" fillId="0" borderId="27" xfId="0" applyNumberFormat="1" applyBorder="1"/>
    <xf numFmtId="0" fontId="5" fillId="0" borderId="37" xfId="0" applyFont="1" applyBorder="1"/>
    <xf numFmtId="10" fontId="0" fillId="0" borderId="4" xfId="0" applyNumberFormat="1" applyBorder="1" applyAlignment="1">
      <alignment wrapText="1"/>
    </xf>
    <xf numFmtId="10" fontId="0" fillId="0" borderId="4" xfId="2" applyNumberFormat="1" applyFont="1" applyBorder="1"/>
    <xf numFmtId="10" fontId="0" fillId="0" borderId="9" xfId="2" applyNumberFormat="1" applyFont="1" applyBorder="1"/>
    <xf numFmtId="10" fontId="0" fillId="0" borderId="33" xfId="2" applyNumberFormat="1" applyFont="1" applyBorder="1"/>
    <xf numFmtId="10" fontId="0" fillId="0" borderId="2" xfId="0" applyNumberFormat="1" applyBorder="1" applyAlignment="1">
      <alignment wrapText="1"/>
    </xf>
    <xf numFmtId="10" fontId="0" fillId="0" borderId="2" xfId="2" applyNumberFormat="1" applyFont="1" applyBorder="1"/>
    <xf numFmtId="2" fontId="0" fillId="0" borderId="2" xfId="0" applyNumberFormat="1" applyBorder="1"/>
    <xf numFmtId="0" fontId="0" fillId="4" borderId="2" xfId="0" applyFill="1" applyBorder="1"/>
    <xf numFmtId="3" fontId="0" fillId="4" borderId="12" xfId="0" applyNumberFormat="1" applyFill="1" applyBorder="1"/>
    <xf numFmtId="0" fontId="0" fillId="4" borderId="4" xfId="0" applyFill="1" applyBorder="1"/>
    <xf numFmtId="0" fontId="12" fillId="4" borderId="2" xfId="0" applyFont="1" applyFill="1" applyBorder="1"/>
    <xf numFmtId="0" fontId="14" fillId="4" borderId="37" xfId="0" applyFont="1" applyFill="1" applyBorder="1"/>
    <xf numFmtId="3" fontId="0" fillId="4" borderId="37" xfId="0" applyNumberFormat="1" applyFill="1" applyBorder="1"/>
    <xf numFmtId="0" fontId="0" fillId="0" borderId="37" xfId="0" applyBorder="1"/>
    <xf numFmtId="0" fontId="0" fillId="0" borderId="33" xfId="0" applyBorder="1"/>
    <xf numFmtId="0" fontId="0" fillId="0" borderId="0" xfId="0" applyAlignment="1">
      <alignment vertical="top"/>
    </xf>
    <xf numFmtId="0" fontId="0" fillId="0" borderId="2" xfId="0" applyBorder="1" applyAlignment="1">
      <alignment horizontal="right"/>
    </xf>
    <xf numFmtId="0" fontId="17" fillId="0" borderId="33" xfId="0" applyFont="1" applyBorder="1" applyAlignment="1">
      <alignment horizontal="center" vertical="center"/>
    </xf>
    <xf numFmtId="0" fontId="17" fillId="0" borderId="37" xfId="0" applyFont="1" applyBorder="1" applyAlignment="1">
      <alignment horizontal="center" vertical="center"/>
    </xf>
    <xf numFmtId="2" fontId="0" fillId="0" borderId="12" xfId="0" applyNumberFormat="1" applyBorder="1"/>
    <xf numFmtId="0" fontId="4" fillId="0" borderId="0" xfId="0" applyFont="1" applyAlignment="1">
      <alignment vertical="top" wrapText="1"/>
    </xf>
    <xf numFmtId="0" fontId="0" fillId="0" borderId="37" xfId="0" applyBorder="1" applyAlignment="1">
      <alignment horizontal="right"/>
    </xf>
    <xf numFmtId="0" fontId="5" fillId="0" borderId="26" xfId="0" applyFont="1" applyBorder="1"/>
    <xf numFmtId="0" fontId="0" fillId="0" borderId="0" xfId="0" applyAlignment="1">
      <alignment vertical="top" wrapText="1"/>
    </xf>
    <xf numFmtId="0" fontId="0" fillId="0" borderId="26" xfId="0" applyBorder="1"/>
    <xf numFmtId="0" fontId="0" fillId="0" borderId="2" xfId="0" applyBorder="1" applyAlignment="1">
      <alignment horizontal="center"/>
    </xf>
    <xf numFmtId="0" fontId="0" fillId="0" borderId="12" xfId="0" applyBorder="1" applyAlignment="1">
      <alignment horizontal="center" wrapText="1"/>
    </xf>
    <xf numFmtId="3" fontId="0" fillId="0" borderId="0" xfId="0" applyNumberFormat="1" applyAlignment="1">
      <alignment horizontal="right"/>
    </xf>
    <xf numFmtId="0" fontId="0" fillId="0" borderId="0" xfId="0" applyAlignment="1">
      <alignment horizontal="right"/>
    </xf>
    <xf numFmtId="0" fontId="0" fillId="2" borderId="2" xfId="0" applyFill="1" applyBorder="1" applyAlignment="1">
      <alignment horizontal="center"/>
    </xf>
    <xf numFmtId="0" fontId="0" fillId="2" borderId="2" xfId="0" applyFill="1" applyBorder="1" applyAlignment="1">
      <alignment horizontal="center" wrapText="1"/>
    </xf>
    <xf numFmtId="0" fontId="23" fillId="0" borderId="0" xfId="0" applyFont="1"/>
    <xf numFmtId="0" fontId="0" fillId="0" borderId="13" xfId="0" applyBorder="1" applyAlignment="1">
      <alignment horizontal="center" wrapText="1"/>
    </xf>
    <xf numFmtId="0" fontId="0" fillId="9" borderId="2" xfId="0" applyFill="1" applyBorder="1" applyAlignment="1">
      <alignment horizontal="center"/>
    </xf>
    <xf numFmtId="2" fontId="0" fillId="0" borderId="2" xfId="0" applyNumberFormat="1" applyBorder="1" applyAlignment="1">
      <alignment horizontal="right" vertical="top"/>
    </xf>
    <xf numFmtId="0" fontId="0" fillId="2" borderId="49" xfId="0" applyFill="1" applyBorder="1" applyAlignment="1">
      <alignment horizontal="center"/>
    </xf>
    <xf numFmtId="2" fontId="0" fillId="2" borderId="2" xfId="0" applyNumberFormat="1" applyFill="1" applyBorder="1" applyAlignment="1">
      <alignment horizontal="right" vertical="top"/>
    </xf>
    <xf numFmtId="0" fontId="0" fillId="2" borderId="49" xfId="0" applyFill="1" applyBorder="1" applyAlignment="1">
      <alignment horizontal="center" wrapText="1"/>
    </xf>
    <xf numFmtId="0" fontId="0" fillId="2" borderId="50" xfId="0" applyFill="1" applyBorder="1" applyAlignment="1">
      <alignment horizontal="center" wrapText="1"/>
    </xf>
    <xf numFmtId="0" fontId="0" fillId="2" borderId="51" xfId="0" applyFill="1" applyBorder="1" applyAlignment="1">
      <alignment horizontal="center" wrapText="1"/>
    </xf>
    <xf numFmtId="2" fontId="0" fillId="2" borderId="38" xfId="0" applyNumberFormat="1" applyFill="1" applyBorder="1" applyAlignment="1">
      <alignment horizontal="right" vertical="top"/>
    </xf>
    <xf numFmtId="2" fontId="0" fillId="2" borderId="12" xfId="0" applyNumberFormat="1" applyFill="1" applyBorder="1" applyAlignment="1">
      <alignment horizontal="right" vertical="top"/>
    </xf>
    <xf numFmtId="2" fontId="0" fillId="2" borderId="14" xfId="0" applyNumberFormat="1" applyFill="1" applyBorder="1" applyAlignment="1">
      <alignment horizontal="right" vertical="top"/>
    </xf>
    <xf numFmtId="2" fontId="0" fillId="2" borderId="4" xfId="0" applyNumberFormat="1" applyFill="1" applyBorder="1" applyAlignment="1">
      <alignment horizontal="right" vertical="top"/>
    </xf>
    <xf numFmtId="0" fontId="0" fillId="2" borderId="12" xfId="0" applyFill="1" applyBorder="1" applyAlignment="1">
      <alignment horizontal="center" wrapText="1"/>
    </xf>
    <xf numFmtId="3" fontId="0" fillId="4" borderId="0" xfId="0" applyNumberFormat="1" applyFill="1" applyAlignment="1">
      <alignment horizontal="left"/>
    </xf>
    <xf numFmtId="0" fontId="24" fillId="0" borderId="2" xfId="0" applyFont="1" applyBorder="1"/>
    <xf numFmtId="0" fontId="25" fillId="0" borderId="2" xfId="0" applyFont="1" applyBorder="1" applyAlignment="1">
      <alignment wrapText="1"/>
    </xf>
    <xf numFmtId="0" fontId="25" fillId="0" borderId="2" xfId="0" applyFont="1" applyBorder="1" applyAlignment="1">
      <alignment horizontal="center" vertical="center" wrapText="1"/>
    </xf>
    <xf numFmtId="0" fontId="8" fillId="0" borderId="0" xfId="0" applyFont="1" applyAlignment="1">
      <alignment vertical="top" wrapText="1"/>
    </xf>
    <xf numFmtId="0" fontId="21" fillId="0" borderId="47" xfId="0" applyFont="1" applyBorder="1" applyAlignment="1">
      <alignment horizontal="left" vertical="top" wrapText="1"/>
    </xf>
    <xf numFmtId="0" fontId="21" fillId="0" borderId="0" xfId="0" applyFont="1" applyAlignment="1">
      <alignment horizontal="left" vertical="top" wrapText="1"/>
    </xf>
    <xf numFmtId="0" fontId="0" fillId="10" borderId="40" xfId="0" applyFill="1" applyBorder="1" applyAlignment="1">
      <alignment horizontal="center"/>
    </xf>
    <xf numFmtId="0" fontId="0" fillId="10" borderId="48" xfId="0" applyFill="1" applyBorder="1" applyAlignment="1">
      <alignment horizontal="center"/>
    </xf>
    <xf numFmtId="0" fontId="0" fillId="10" borderId="41" xfId="0" applyFill="1" applyBorder="1" applyAlignment="1">
      <alignment horizontal="center"/>
    </xf>
    <xf numFmtId="0" fontId="0" fillId="0" borderId="2" xfId="0" applyBorder="1" applyAlignment="1">
      <alignment horizontal="center" vertical="center"/>
    </xf>
    <xf numFmtId="0" fontId="0" fillId="10" borderId="43" xfId="0" applyFill="1" applyBorder="1" applyAlignment="1">
      <alignment horizontal="center"/>
    </xf>
    <xf numFmtId="0" fontId="0" fillId="10" borderId="46" xfId="0" applyFill="1" applyBorder="1" applyAlignment="1">
      <alignment horizontal="center"/>
    </xf>
    <xf numFmtId="0" fontId="7" fillId="0" borderId="15"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9" fillId="0" borderId="0" xfId="0" applyFont="1" applyAlignment="1">
      <alignment horizontal="center" vertical="center" wrapText="1"/>
    </xf>
    <xf numFmtId="0" fontId="8" fillId="0" borderId="0" xfId="0" applyFont="1" applyAlignment="1">
      <alignment horizontal="center" vertic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9" xfId="0" applyFont="1" applyBorder="1" applyAlignment="1">
      <alignment horizontal="center"/>
    </xf>
    <xf numFmtId="0" fontId="5" fillId="0" borderId="23" xfId="0" applyFont="1" applyBorder="1" applyAlignment="1">
      <alignment horizontal="center"/>
    </xf>
    <xf numFmtId="0" fontId="5" fillId="0" borderId="25" xfId="0" applyFont="1" applyBorder="1" applyAlignment="1">
      <alignment horizontal="center"/>
    </xf>
    <xf numFmtId="0" fontId="4" fillId="0" borderId="42" xfId="0" applyFont="1" applyBorder="1" applyAlignment="1">
      <alignment horizontal="left" vertical="top" wrapText="1"/>
    </xf>
    <xf numFmtId="0" fontId="0" fillId="0" borderId="45" xfId="0" applyBorder="1" applyAlignment="1">
      <alignment horizontal="left" vertical="top" wrapText="1"/>
    </xf>
    <xf numFmtId="0" fontId="5" fillId="0" borderId="32" xfId="0" applyFont="1" applyBorder="1" applyAlignment="1">
      <alignment horizontal="center"/>
    </xf>
    <xf numFmtId="0" fontId="5" fillId="0" borderId="34" xfId="0" applyFont="1" applyBorder="1" applyAlignment="1">
      <alignment horizontal="center"/>
    </xf>
    <xf numFmtId="0" fontId="15" fillId="8" borderId="4" xfId="0" applyFont="1" applyFill="1" applyBorder="1" applyAlignment="1">
      <alignment horizontal="left"/>
    </xf>
    <xf numFmtId="0" fontId="13" fillId="8" borderId="0" xfId="0" applyFont="1" applyFill="1" applyAlignment="1">
      <alignment horizontal="left"/>
    </xf>
    <xf numFmtId="0" fontId="5" fillId="0" borderId="37" xfId="0" applyFont="1" applyBorder="1" applyAlignment="1">
      <alignment horizontal="center" wrapText="1"/>
    </xf>
    <xf numFmtId="0" fontId="5" fillId="0" borderId="37" xfId="0" applyFont="1" applyBorder="1" applyAlignment="1">
      <alignment horizontal="center"/>
    </xf>
    <xf numFmtId="3" fontId="0" fillId="0" borderId="27" xfId="0" applyNumberFormat="1" applyBorder="1" applyAlignment="1">
      <alignment horizontal="center"/>
    </xf>
    <xf numFmtId="3" fontId="0" fillId="0" borderId="28" xfId="0" applyNumberFormat="1" applyBorder="1" applyAlignment="1">
      <alignment horizontal="center"/>
    </xf>
    <xf numFmtId="0" fontId="5" fillId="0" borderId="28" xfId="0" applyFont="1" applyBorder="1" applyAlignment="1">
      <alignment horizontal="center"/>
    </xf>
    <xf numFmtId="0" fontId="5" fillId="0" borderId="35" xfId="0" applyFont="1" applyBorder="1" applyAlignment="1">
      <alignment horizontal="center" wrapText="1"/>
    </xf>
    <xf numFmtId="0" fontId="5" fillId="0" borderId="31" xfId="0" applyFont="1" applyBorder="1" applyAlignment="1">
      <alignment horizontal="center"/>
    </xf>
    <xf numFmtId="0" fontId="5" fillId="0" borderId="26" xfId="0" applyFont="1" applyBorder="1" applyAlignment="1">
      <alignment horizontal="center" wrapText="1"/>
    </xf>
    <xf numFmtId="0" fontId="5" fillId="0" borderId="2" xfId="0" applyFont="1" applyBorder="1" applyAlignment="1">
      <alignment horizontal="center"/>
    </xf>
    <xf numFmtId="10" fontId="1" fillId="0" borderId="2" xfId="0" applyNumberFormat="1" applyFont="1" applyBorder="1" applyAlignment="1">
      <alignment horizontal="center" wrapText="1"/>
    </xf>
    <xf numFmtId="10" fontId="15" fillId="8" borderId="2" xfId="0" applyNumberFormat="1" applyFont="1" applyFill="1" applyBorder="1" applyAlignment="1">
      <alignment horizontal="left" wrapText="1"/>
    </xf>
    <xf numFmtId="10" fontId="15" fillId="8" borderId="12" xfId="0" applyNumberFormat="1" applyFont="1" applyFill="1" applyBorder="1" applyAlignment="1">
      <alignment horizontal="left" wrapText="1"/>
    </xf>
    <xf numFmtId="0" fontId="0" fillId="0" borderId="35" xfId="0" applyBorder="1" applyAlignment="1">
      <alignment horizontal="center" vertical="top" wrapText="1"/>
    </xf>
    <xf numFmtId="0" fontId="0" fillId="0" borderId="0" xfId="0" applyAlignment="1">
      <alignment horizontal="center" vertical="top" wrapText="1"/>
    </xf>
    <xf numFmtId="0" fontId="0" fillId="0" borderId="42" xfId="0" applyBorder="1" applyAlignment="1">
      <alignment horizontal="left" vertical="top" wrapText="1"/>
    </xf>
    <xf numFmtId="0" fontId="18" fillId="0" borderId="37" xfId="0" applyFont="1" applyBorder="1" applyAlignment="1">
      <alignment horizontal="center" vertical="top"/>
    </xf>
    <xf numFmtId="0" fontId="0" fillId="0" borderId="33" xfId="0" applyBorder="1" applyAlignment="1">
      <alignment horizontal="center" wrapText="1"/>
    </xf>
    <xf numFmtId="0" fontId="13" fillId="8" borderId="2" xfId="0" applyFont="1" applyFill="1" applyBorder="1" applyAlignment="1">
      <alignment horizontal="left"/>
    </xf>
    <xf numFmtId="0" fontId="13" fillId="8" borderId="44" xfId="0" applyFont="1" applyFill="1" applyBorder="1" applyAlignment="1">
      <alignment horizontal="left"/>
    </xf>
    <xf numFmtId="0" fontId="16" fillId="0" borderId="2" xfId="0" applyFont="1" applyBorder="1" applyAlignment="1">
      <alignment horizontal="center" vertical="center"/>
    </xf>
    <xf numFmtId="0" fontId="0" fillId="0" borderId="37" xfId="0" applyBorder="1" applyAlignment="1">
      <alignment horizontal="center" wrapText="1"/>
    </xf>
  </cellXfs>
  <cellStyles count="3">
    <cellStyle name="Normalny" xfId="0" builtinId="0"/>
    <cellStyle name="Procentowy" xfId="2" builtinId="5"/>
    <cellStyle name="Walutowy" xfId="1" builtinId="4"/>
  </cellStyles>
  <dxfs count="14">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Przepływy</a:t>
            </a:r>
            <a:r>
              <a:rPr lang="pl-PL" baseline="0"/>
              <a:t> pieniężne</a:t>
            </a:r>
          </a:p>
          <a:p>
            <a:pPr>
              <a:defRPr/>
            </a:pP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v>D. operacyjna</c:v>
          </c:tx>
          <c:spPr>
            <a:solidFill>
              <a:schemeClr val="accent1"/>
            </a:solidFill>
            <a:ln>
              <a:noFill/>
            </a:ln>
            <a:effectLst/>
          </c:spPr>
          <c:invertIfNegative val="0"/>
          <c:cat>
            <c:numLit>
              <c:formatCode>General</c:formatCode>
              <c:ptCount val="3"/>
              <c:pt idx="0">
                <c:v>2024</c:v>
              </c:pt>
              <c:pt idx="1">
                <c:v>2023</c:v>
              </c:pt>
              <c:pt idx="2">
                <c:v>2022</c:v>
              </c:pt>
            </c:numLit>
          </c:cat>
          <c:val>
            <c:numRef>
              <c:f>'Analiza wstępna'!$B$19:$D$19</c:f>
              <c:numCache>
                <c:formatCode>#,##0</c:formatCode>
                <c:ptCount val="3"/>
                <c:pt idx="0">
                  <c:v>54644</c:v>
                </c:pt>
                <c:pt idx="1">
                  <c:v>37177</c:v>
                </c:pt>
                <c:pt idx="2">
                  <c:v>12062</c:v>
                </c:pt>
              </c:numCache>
            </c:numRef>
          </c:val>
          <c:extLst>
            <c:ext xmlns:c16="http://schemas.microsoft.com/office/drawing/2014/chart" uri="{C3380CC4-5D6E-409C-BE32-E72D297353CC}">
              <c16:uniqueId val="{00000000-377E-46FA-8928-EE622B12E618}"/>
            </c:ext>
          </c:extLst>
        </c:ser>
        <c:ser>
          <c:idx val="1"/>
          <c:order val="1"/>
          <c:tx>
            <c:v>D. Inwestycyjna</c:v>
          </c:tx>
          <c:spPr>
            <a:solidFill>
              <a:schemeClr val="accent2"/>
            </a:solidFill>
            <a:ln>
              <a:noFill/>
            </a:ln>
            <a:effectLst/>
          </c:spPr>
          <c:invertIfNegative val="0"/>
          <c:cat>
            <c:numLit>
              <c:formatCode>General</c:formatCode>
              <c:ptCount val="3"/>
              <c:pt idx="0">
                <c:v>2024</c:v>
              </c:pt>
              <c:pt idx="1">
                <c:v>2023</c:v>
              </c:pt>
              <c:pt idx="2">
                <c:v>2022</c:v>
              </c:pt>
            </c:numLit>
          </c:cat>
          <c:val>
            <c:numRef>
              <c:f>'Analiza wstępna'!$B$20:$D$20</c:f>
              <c:numCache>
                <c:formatCode>#,##0</c:formatCode>
                <c:ptCount val="3"/>
                <c:pt idx="0">
                  <c:v>-22993</c:v>
                </c:pt>
                <c:pt idx="1">
                  <c:v>-21785</c:v>
                </c:pt>
                <c:pt idx="2">
                  <c:v>-2921</c:v>
                </c:pt>
              </c:numCache>
            </c:numRef>
          </c:val>
          <c:extLst>
            <c:ext xmlns:c16="http://schemas.microsoft.com/office/drawing/2014/chart" uri="{C3380CC4-5D6E-409C-BE32-E72D297353CC}">
              <c16:uniqueId val="{00000001-377E-46FA-8928-EE622B12E618}"/>
            </c:ext>
          </c:extLst>
        </c:ser>
        <c:ser>
          <c:idx val="2"/>
          <c:order val="2"/>
          <c:tx>
            <c:v>D. finansowa</c:v>
          </c:tx>
          <c:spPr>
            <a:solidFill>
              <a:schemeClr val="accent3"/>
            </a:solidFill>
            <a:ln>
              <a:noFill/>
            </a:ln>
            <a:effectLst/>
          </c:spPr>
          <c:invertIfNegative val="0"/>
          <c:cat>
            <c:numLit>
              <c:formatCode>General</c:formatCode>
              <c:ptCount val="3"/>
              <c:pt idx="0">
                <c:v>2024</c:v>
              </c:pt>
              <c:pt idx="1">
                <c:v>2023</c:v>
              </c:pt>
              <c:pt idx="2">
                <c:v>2022</c:v>
              </c:pt>
            </c:numLit>
          </c:cat>
          <c:val>
            <c:numRef>
              <c:f>'Analiza wstępna'!$B$21:$D$21</c:f>
              <c:numCache>
                <c:formatCode>#,##0</c:formatCode>
                <c:ptCount val="3"/>
                <c:pt idx="0">
                  <c:v>-9502</c:v>
                </c:pt>
                <c:pt idx="1">
                  <c:v>1256</c:v>
                </c:pt>
                <c:pt idx="2">
                  <c:v>-2970</c:v>
                </c:pt>
              </c:numCache>
            </c:numRef>
          </c:val>
          <c:extLst>
            <c:ext xmlns:c16="http://schemas.microsoft.com/office/drawing/2014/chart" uri="{C3380CC4-5D6E-409C-BE32-E72D297353CC}">
              <c16:uniqueId val="{00000002-377E-46FA-8928-EE622B12E618}"/>
            </c:ext>
          </c:extLst>
        </c:ser>
        <c:dLbls>
          <c:showLegendKey val="0"/>
          <c:showVal val="0"/>
          <c:showCatName val="0"/>
          <c:showSerName val="0"/>
          <c:showPercent val="0"/>
          <c:showBubbleSize val="0"/>
        </c:dLbls>
        <c:gapWidth val="219"/>
        <c:overlap val="-27"/>
        <c:axId val="713554111"/>
        <c:axId val="713560831"/>
      </c:barChart>
      <c:catAx>
        <c:axId val="713554111"/>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13560831"/>
        <c:crosses val="autoZero"/>
        <c:auto val="1"/>
        <c:lblAlgn val="ctr"/>
        <c:lblOffset val="100"/>
        <c:noMultiLvlLbl val="0"/>
      </c:catAx>
      <c:valAx>
        <c:axId val="71356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1355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Wskaźniki</a:t>
            </a:r>
            <a:r>
              <a:rPr lang="pl-PL" baseline="0"/>
              <a:t> rentowności</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lineChart>
        <c:grouping val="standard"/>
        <c:varyColors val="0"/>
        <c:ser>
          <c:idx val="0"/>
          <c:order val="0"/>
          <c:tx>
            <c:v>ROA</c:v>
          </c:tx>
          <c:spPr>
            <a:ln w="28575" cap="rnd">
              <a:solidFill>
                <a:schemeClr val="accent4">
                  <a:tint val="65000"/>
                </a:schemeClr>
              </a:solidFill>
              <a:round/>
            </a:ln>
            <a:effectLst/>
          </c:spPr>
          <c:marker>
            <c:symbol val="none"/>
          </c:marker>
          <c:cat>
            <c:numLit>
              <c:formatCode>General</c:formatCode>
              <c:ptCount val="3"/>
              <c:pt idx="0">
                <c:v>2022</c:v>
              </c:pt>
              <c:pt idx="1">
                <c:v>2023</c:v>
              </c:pt>
              <c:pt idx="2">
                <c:v>2024</c:v>
              </c:pt>
            </c:numLit>
          </c:cat>
          <c:val>
            <c:numRef>
              <c:f>('Analiza wskaźnikowa'!$D$3,'Analiza wskaźnikowa'!$F$3,'Analiza wskaźnikowa'!$H$3)</c:f>
              <c:numCache>
                <c:formatCode>0.00</c:formatCode>
                <c:ptCount val="3"/>
                <c:pt idx="0">
                  <c:v>0.93035527074032676</c:v>
                </c:pt>
                <c:pt idx="1">
                  <c:v>10.113934325708513</c:v>
                </c:pt>
                <c:pt idx="2">
                  <c:v>5.5243404336435216</c:v>
                </c:pt>
              </c:numCache>
            </c:numRef>
          </c:val>
          <c:smooth val="0"/>
          <c:extLst>
            <c:ext xmlns:c16="http://schemas.microsoft.com/office/drawing/2014/chart" uri="{C3380CC4-5D6E-409C-BE32-E72D297353CC}">
              <c16:uniqueId val="{00000000-83A5-4B82-A254-5F2A9E16552D}"/>
            </c:ext>
          </c:extLst>
        </c:ser>
        <c:ser>
          <c:idx val="1"/>
          <c:order val="1"/>
          <c:tx>
            <c:v>ROE</c:v>
          </c:tx>
          <c:spPr>
            <a:ln w="28575" cap="rnd">
              <a:solidFill>
                <a:schemeClr val="accent4"/>
              </a:solidFill>
              <a:round/>
            </a:ln>
            <a:effectLst/>
          </c:spPr>
          <c:marker>
            <c:symbol val="none"/>
          </c:marker>
          <c:cat>
            <c:numLit>
              <c:formatCode>General</c:formatCode>
              <c:ptCount val="3"/>
              <c:pt idx="0">
                <c:v>2022</c:v>
              </c:pt>
              <c:pt idx="1">
                <c:v>2023</c:v>
              </c:pt>
              <c:pt idx="2">
                <c:v>2024</c:v>
              </c:pt>
            </c:numLit>
          </c:cat>
          <c:val>
            <c:numRef>
              <c:f>('Analiza wskaźnikowa'!$D$4,'Analiza wskaźnikowa'!$F$4,'Analiza wskaźnikowa'!$H$4)</c:f>
              <c:numCache>
                <c:formatCode>0.00</c:formatCode>
                <c:ptCount val="3"/>
                <c:pt idx="0">
                  <c:v>1.0211659858893427</c:v>
                </c:pt>
                <c:pt idx="1">
                  <c:v>17.317706633951527</c:v>
                </c:pt>
                <c:pt idx="2">
                  <c:v>12.191923249604196</c:v>
                </c:pt>
              </c:numCache>
            </c:numRef>
          </c:val>
          <c:smooth val="0"/>
          <c:extLst>
            <c:ext xmlns:c16="http://schemas.microsoft.com/office/drawing/2014/chart" uri="{C3380CC4-5D6E-409C-BE32-E72D297353CC}">
              <c16:uniqueId val="{00000001-83A5-4B82-A254-5F2A9E16552D}"/>
            </c:ext>
          </c:extLst>
        </c:ser>
        <c:ser>
          <c:idx val="2"/>
          <c:order val="2"/>
          <c:tx>
            <c:v>ROS</c:v>
          </c:tx>
          <c:spPr>
            <a:ln w="28575" cap="rnd">
              <a:solidFill>
                <a:schemeClr val="accent4">
                  <a:shade val="65000"/>
                </a:schemeClr>
              </a:solidFill>
              <a:round/>
            </a:ln>
            <a:effectLst/>
          </c:spPr>
          <c:marker>
            <c:symbol val="none"/>
          </c:marker>
          <c:cat>
            <c:numLit>
              <c:formatCode>General</c:formatCode>
              <c:ptCount val="3"/>
              <c:pt idx="0">
                <c:v>2022</c:v>
              </c:pt>
              <c:pt idx="1">
                <c:v>2023</c:v>
              </c:pt>
              <c:pt idx="2">
                <c:v>2024</c:v>
              </c:pt>
            </c:numLit>
          </c:cat>
          <c:val>
            <c:numRef>
              <c:f>('Analiza wskaźnikowa'!$D$5,'Analiza wskaźnikowa'!$F$5,'Analiza wskaźnikowa'!$H$5)</c:f>
              <c:numCache>
                <c:formatCode>0.00</c:formatCode>
                <c:ptCount val="3"/>
                <c:pt idx="0">
                  <c:v>0.35843371984018368</c:v>
                </c:pt>
                <c:pt idx="1">
                  <c:v>4.5308957303248016</c:v>
                </c:pt>
                <c:pt idx="2">
                  <c:v>3.3168226131509333</c:v>
                </c:pt>
              </c:numCache>
            </c:numRef>
          </c:val>
          <c:smooth val="0"/>
          <c:extLst>
            <c:ext xmlns:c16="http://schemas.microsoft.com/office/drawing/2014/chart" uri="{C3380CC4-5D6E-409C-BE32-E72D297353CC}">
              <c16:uniqueId val="{00000002-83A5-4B82-A254-5F2A9E16552D}"/>
            </c:ext>
          </c:extLst>
        </c:ser>
        <c:dLbls>
          <c:showLegendKey val="0"/>
          <c:showVal val="0"/>
          <c:showCatName val="0"/>
          <c:showSerName val="0"/>
          <c:showPercent val="0"/>
          <c:showBubbleSize val="0"/>
        </c:dLbls>
        <c:smooth val="0"/>
        <c:axId val="425977951"/>
        <c:axId val="425984671"/>
      </c:lineChart>
      <c:catAx>
        <c:axId val="42597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25984671"/>
        <c:crosses val="autoZero"/>
        <c:auto val="1"/>
        <c:lblAlgn val="ctr"/>
        <c:lblOffset val="100"/>
        <c:tickLblSkip val="1"/>
        <c:noMultiLvlLbl val="0"/>
      </c:catAx>
      <c:valAx>
        <c:axId val="425984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25977951"/>
        <c:crosses val="autoZero"/>
        <c:crossBetween val="between"/>
      </c:valAx>
      <c:spPr>
        <a:noFill/>
        <a:ln>
          <a:noFill/>
        </a:ln>
        <a:effectLst/>
      </c:spPr>
    </c:plotArea>
    <c:legend>
      <c:legendPos val="b"/>
      <c:layout>
        <c:manualLayout>
          <c:xMode val="edge"/>
          <c:yMode val="edge"/>
          <c:x val="0.30999020632304275"/>
          <c:y val="0.88906750764637876"/>
          <c:w val="0.46332393946148781"/>
          <c:h val="9.83051609360902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Porównanie</a:t>
            </a:r>
            <a:r>
              <a:rPr lang="pl-PL" baseline="0"/>
              <a:t> ROS i płynności bieżącej sektora do spółki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63096740059422"/>
          <c:y val="0.30849043563699174"/>
          <c:w val="0.63612108786781163"/>
          <c:h val="0.5064415392782905"/>
        </c:manualLayout>
      </c:layout>
      <c:barChart>
        <c:barDir val="col"/>
        <c:grouping val="clustered"/>
        <c:varyColors val="0"/>
        <c:ser>
          <c:idx val="0"/>
          <c:order val="0"/>
          <c:tx>
            <c:v>Sektor 2023</c:v>
          </c:tx>
          <c:spPr>
            <a:solidFill>
              <a:schemeClr val="accent4">
                <a:shade val="76000"/>
              </a:schemeClr>
            </a:solidFill>
            <a:ln>
              <a:noFill/>
            </a:ln>
            <a:effectLst/>
          </c:spPr>
          <c:invertIfNegative val="0"/>
          <c:cat>
            <c:strRef>
              <c:f>('Analiza wskaźnikowa'!$B$5,'Analiza wskaźnikowa'!$B$8,'Analiza wskaźnikowa'!$B$8)</c:f>
              <c:strCache>
                <c:ptCount val="3"/>
                <c:pt idx="0">
                  <c:v>Rentowność sprzedaży netto</c:v>
                </c:pt>
                <c:pt idx="1">
                  <c:v>Płynność bieżąca(płynność finansowa I stopnia)</c:v>
                </c:pt>
                <c:pt idx="2">
                  <c:v>Płynność bieżąca(płynność finansowa I stopnia)</c:v>
                </c:pt>
              </c:strCache>
            </c:strRef>
          </c:cat>
          <c:val>
            <c:numRef>
              <c:f>'Analiza wskaźnikowa'!$F$5:$G$5</c:f>
              <c:numCache>
                <c:formatCode>0.00</c:formatCode>
                <c:ptCount val="2"/>
                <c:pt idx="0">
                  <c:v>4.5308957303248016</c:v>
                </c:pt>
                <c:pt idx="1">
                  <c:v>8.1</c:v>
                </c:pt>
              </c:numCache>
            </c:numRef>
          </c:val>
          <c:extLst>
            <c:ext xmlns:c16="http://schemas.microsoft.com/office/drawing/2014/chart" uri="{C3380CC4-5D6E-409C-BE32-E72D297353CC}">
              <c16:uniqueId val="{00000000-4B23-4932-A7AB-9106C1A97275}"/>
            </c:ext>
          </c:extLst>
        </c:ser>
        <c:ser>
          <c:idx val="1"/>
          <c:order val="1"/>
          <c:tx>
            <c:v>Spółka 2023</c:v>
          </c:tx>
          <c:spPr>
            <a:solidFill>
              <a:schemeClr val="accent4">
                <a:tint val="77000"/>
              </a:schemeClr>
            </a:solidFill>
            <a:ln>
              <a:noFill/>
            </a:ln>
            <a:effectLst/>
          </c:spPr>
          <c:invertIfNegative val="0"/>
          <c:cat>
            <c:strRef>
              <c:f>('Analiza wskaźnikowa'!$B$5,'Analiza wskaźnikowa'!$B$8,'Analiza wskaźnikowa'!$B$8)</c:f>
              <c:strCache>
                <c:ptCount val="3"/>
                <c:pt idx="0">
                  <c:v>Rentowność sprzedaży netto</c:v>
                </c:pt>
                <c:pt idx="1">
                  <c:v>Płynność bieżąca(płynność finansowa I stopnia)</c:v>
                </c:pt>
                <c:pt idx="2">
                  <c:v>Płynność bieżąca(płynność finansowa I stopnia)</c:v>
                </c:pt>
              </c:strCache>
            </c:strRef>
          </c:cat>
          <c:val>
            <c:numRef>
              <c:f>'Analiza wskaźnikowa'!$F$8:$G$8</c:f>
              <c:numCache>
                <c:formatCode>0.00</c:formatCode>
                <c:ptCount val="2"/>
                <c:pt idx="0">
                  <c:v>1.51411283868145</c:v>
                </c:pt>
                <c:pt idx="1">
                  <c:v>4.0599999999999996</c:v>
                </c:pt>
              </c:numCache>
            </c:numRef>
          </c:val>
          <c:extLst>
            <c:ext xmlns:c16="http://schemas.microsoft.com/office/drawing/2014/chart" uri="{C3380CC4-5D6E-409C-BE32-E72D297353CC}">
              <c16:uniqueId val="{00000001-4B23-4932-A7AB-9106C1A97275}"/>
            </c:ext>
          </c:extLst>
        </c:ser>
        <c:dLbls>
          <c:showLegendKey val="0"/>
          <c:showVal val="0"/>
          <c:showCatName val="0"/>
          <c:showSerName val="0"/>
          <c:showPercent val="0"/>
          <c:showBubbleSize val="0"/>
        </c:dLbls>
        <c:gapWidth val="219"/>
        <c:overlap val="-27"/>
        <c:axId val="529837247"/>
        <c:axId val="533945903"/>
      </c:barChart>
      <c:catAx>
        <c:axId val="52983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33945903"/>
        <c:crosses val="autoZero"/>
        <c:auto val="1"/>
        <c:lblAlgn val="ctr"/>
        <c:lblOffset val="100"/>
        <c:noMultiLvlLbl val="0"/>
      </c:catAx>
      <c:valAx>
        <c:axId val="53394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2983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237506</xdr:colOff>
      <xdr:row>43</xdr:row>
      <xdr:rowOff>86590</xdr:rowOff>
    </xdr:from>
    <xdr:to>
      <xdr:col>19</xdr:col>
      <xdr:colOff>512618</xdr:colOff>
      <xdr:row>51</xdr:row>
      <xdr:rowOff>890649</xdr:rowOff>
    </xdr:to>
    <xdr:graphicFrame macro="">
      <xdr:nvGraphicFramePr>
        <xdr:cNvPr id="2" name="Wykres 1">
          <a:extLst>
            <a:ext uri="{FF2B5EF4-FFF2-40B4-BE49-F238E27FC236}">
              <a16:creationId xmlns:a16="http://schemas.microsoft.com/office/drawing/2014/main" id="{14A58E8A-6D15-10F2-B884-10D957FB9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264801</xdr:colOff>
      <xdr:row>25</xdr:row>
      <xdr:rowOff>183921</xdr:rowOff>
    </xdr:from>
    <xdr:to>
      <xdr:col>6</xdr:col>
      <xdr:colOff>870857</xdr:colOff>
      <xdr:row>37</xdr:row>
      <xdr:rowOff>15551</xdr:rowOff>
    </xdr:to>
    <xdr:graphicFrame macro="">
      <xdr:nvGraphicFramePr>
        <xdr:cNvPr id="2" name="Wykres 1">
          <a:extLst>
            <a:ext uri="{FF2B5EF4-FFF2-40B4-BE49-F238E27FC236}">
              <a16:creationId xmlns:a16="http://schemas.microsoft.com/office/drawing/2014/main" id="{18199149-7A75-95D7-E138-93BCE1EBE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285270</xdr:colOff>
      <xdr:row>38</xdr:row>
      <xdr:rowOff>38528</xdr:rowOff>
    </xdr:from>
    <xdr:to>
      <xdr:col>6</xdr:col>
      <xdr:colOff>886408</xdr:colOff>
      <xdr:row>50</xdr:row>
      <xdr:rowOff>108857</xdr:rowOff>
    </xdr:to>
    <xdr:graphicFrame macro="">
      <xdr:nvGraphicFramePr>
        <xdr:cNvPr id="3" name="Wykres 2">
          <a:extLst>
            <a:ext uri="{FF2B5EF4-FFF2-40B4-BE49-F238E27FC236}">
              <a16:creationId xmlns:a16="http://schemas.microsoft.com/office/drawing/2014/main" id="{D83FC268-2627-2ADD-9939-C4F1E25FA5E7}"/>
            </a:ext>
            <a:ext uri="{147F2762-F138-4A5C-976F-8EAC2B608ADB}">
              <a16:predDERef xmlns:a16="http://schemas.microsoft.com/office/drawing/2014/main" pred="{18199149-7A75-95D7-E138-93BCE1EBE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60863</xdr:colOff>
      <xdr:row>0</xdr:row>
      <xdr:rowOff>0</xdr:rowOff>
    </xdr:from>
    <xdr:to>
      <xdr:col>18</xdr:col>
      <xdr:colOff>346613</xdr:colOff>
      <xdr:row>29</xdr:row>
      <xdr:rowOff>131198</xdr:rowOff>
    </xdr:to>
    <xdr:sp macro="" textlink="">
      <xdr:nvSpPr>
        <xdr:cNvPr id="2" name="Pole tekstowe 1">
          <a:extLst>
            <a:ext uri="{FF2B5EF4-FFF2-40B4-BE49-F238E27FC236}">
              <a16:creationId xmlns:a16="http://schemas.microsoft.com/office/drawing/2014/main" id="{08B4C3B8-A3DA-9E6C-2198-67B41B7F867E}"/>
            </a:ext>
          </a:extLst>
        </xdr:cNvPr>
        <xdr:cNvSpPr txBox="1"/>
      </xdr:nvSpPr>
      <xdr:spPr>
        <a:xfrm>
          <a:off x="60863" y="0"/>
          <a:ext cx="11231428" cy="5593274"/>
        </a:xfrm>
        <a:prstGeom prst="rect">
          <a:avLst/>
        </a:prstGeom>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spcFirstLastPara="0" vertOverflow="clip" horzOverflow="clip" wrap="square" lIns="91440" tIns="45720" rIns="91440" bIns="45720" rtlCol="0" anchor="t">
          <a:noAutofit/>
        </a:bodyPr>
        <a:lstStyle/>
        <a:p>
          <a:pPr marL="0" indent="0" algn="l"/>
          <a:r>
            <a:rPr lang="en-US" sz="2000" b="1" i="1" u="none" strike="noStrike">
              <a:solidFill>
                <a:schemeClr val="accent1">
                  <a:lumMod val="50000"/>
                </a:schemeClr>
              </a:solidFill>
              <a:latin typeface="Aptos Narrow" panose="020B0004020202020204" pitchFamily="34" charset="0"/>
            </a:rPr>
            <a:t>Wnioski końcowe na podstawie analiz przeprowadzonych w sprawozdaniu:</a:t>
          </a:r>
          <a:endParaRPr lang="en-US" sz="1100" b="0" i="0" u="none" strike="noStrike">
            <a:solidFill>
              <a:schemeClr val="dk1"/>
            </a:solidFill>
            <a:latin typeface="+mn-lt"/>
            <a:ea typeface="+mn-lt"/>
            <a:cs typeface="+mn-lt"/>
          </a:endParaRPr>
        </a:p>
        <a:p>
          <a:pPr marL="0" indent="0" algn="l"/>
          <a:endParaRPr lang="en-US" sz="1100" b="0" i="0" u="none" strike="noStrike">
            <a:solidFill>
              <a:schemeClr val="dk1"/>
            </a:solidFill>
            <a:latin typeface="+mn-lt"/>
            <a:ea typeface="+mn-lt"/>
            <a:cs typeface="+mn-lt"/>
          </a:endParaRPr>
        </a:p>
        <a:p>
          <a:pPr marL="0" indent="0" algn="l"/>
          <a:r>
            <a:rPr lang="en-US" sz="1100" b="0">
              <a:solidFill>
                <a:schemeClr val="dk1"/>
              </a:solidFill>
              <a:latin typeface="+mn-lt"/>
              <a:ea typeface="+mn-lt"/>
              <a:cs typeface="+mn-lt"/>
            </a:rPr>
            <a:t>Na podstawie analizy wstępnej oraz analizy wskaźnikowej sytuacji finansowej Atende S.A. za lata 2022</a:t>
          </a:r>
          <a:r>
            <a:rPr lang="en-US" sz="1100" b="0" i="0" u="none" strike="noStrike">
              <a:solidFill>
                <a:schemeClr val="dk1"/>
              </a:solidFill>
              <a:latin typeface="Aptos Narrow" panose="020B0004020202020204" pitchFamily="34" charset="0"/>
            </a:rPr>
            <a:t>-</a:t>
          </a:r>
          <a:r>
            <a:rPr lang="en-US" sz="1100" b="0">
              <a:solidFill>
                <a:schemeClr val="dk1"/>
              </a:solidFill>
              <a:latin typeface="+mn-lt"/>
              <a:ea typeface="+mn-lt"/>
              <a:cs typeface="+mn-lt"/>
            </a:rPr>
            <a:t>2024 można stwierdzić, że kondycja finansowa spółki jest dobra i stabilna, choć w badanym okresie widoczne były istotne zmiany w jej funkcjonowaniu.</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Spółka wyraźnie zwiększa skalę swojej działalności, co potwierdza dynamiczny wzrost przychodów, szczególnie w 2023 roku, oraz dalszy rozwój w 2024 roku. Jednocześnie zmienia się struktura majątku </a:t>
          </a:r>
          <a:r>
            <a:rPr lang="en-US" sz="1100" b="0" i="0" u="none" strike="noStrike">
              <a:solidFill>
                <a:schemeClr val="dk1"/>
              </a:solidFill>
              <a:latin typeface="Aptos Narrow" panose="020B0004020202020204" pitchFamily="34" charset="0"/>
            </a:rPr>
            <a:t>-</a:t>
          </a:r>
          <a:r>
            <a:rPr lang="en-US" sz="1100" b="0">
              <a:solidFill>
                <a:schemeClr val="dk1"/>
              </a:solidFill>
              <a:latin typeface="+mn-lt"/>
              <a:ea typeface="+mn-lt"/>
              <a:cs typeface="+mn-lt"/>
            </a:rPr>
            <a:t> coraz większy udział mają aktywa obrotowe, co jest charakterystyczne dla firm z sektora IT i świadczy o dużej elastyczności operacyjnej Atende.</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Rok 2022 był dla spółki okresem słabszym pod względem rentowności, jednak analiza wskaźnikowa pokazuje, że był to raczej etap przejściowy. W 2023 roku nastąpiła bardzo wyraźna poprawa wyników, co może świadczyć o skuteczniejszych działaniach zarządczych, optymalizacji kosztów lub lepszym wykorzystaniu wcześniejszych inwestycji. W 2024 roku rentowność nieco się obniżyła, jednak nadal pozostaje na wysokim i bezpiecznym poziomie. Niższe marże w porównaniu do średniej branżowej wynikają głównie ze specyfiki działalności Atende jako integratora systemów, a nie z problemów finansowych spółki.</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Atende utrzymuje dobrą płynność finansową przez cały analizowany okres. Szczególnie zauważalny jest wzrost płynności gotówkowej w 2024 roku, który wskazuje na zgromadzenie dużej ilości środków pieniężnych. Oznacza to, że spółka ma bardzo dobrą zdolność do regulowania bieżących zobowiązań oraz duży margines bezpieczeństwa finansowego. Jednocześnie firma efektywnie zarządza kapitałem obrotowym, nie zamrażając nadmiernie środków.</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Analiza sprawności działania pokazuje, że w 2024 roku wydłużył się cykl operacyjny, głównie na skutek wolniejszej rotacji należności. Może to być efektem ekspansji na nowe rynki lub stosowania dłuższych terminów płatności wobec odbiorców. Z drugiej strony spółka skutecznie kompensuje to, wydłużając okres regulowania zobowiązań wobec dostawców. Bardzo pozytywnym zjawiskiem jest również sprawne zarządzanie zapasami, które wypada znacznie lepiej niż średnia w branży.</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Struktura zadłużenia spółki stopniowo się poprawia. Udział kapitałów obcych w finansowaniu aktywów maleje, a majątek trwały jest w pełni finansowany stabilnymi źródłami kapitału, co oznacza spełnienie złotej reguły bilansowej. Choć poziom zadłużenia jest wyższy niż średnia sektora, bardzo dobra zdolność do obsługi zobowiązań oraz wysoka rentowność sprawiają, że nie stanowi to zagrożenia dla stabilności finansowej spółki.</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Największą siłą Atende są przepływy pieniężne. Spółka generuje wystarczającą ilość gotówki z działalności operacyjnej, aby finansować inwestycje, spłacać zobowiązania i potencjalnie wypłacać dywidendy. Świadczy to o wysokiej samowystarczalności finansowej oraz dobrze funkcjonującym modelu biznesowym.</a:t>
          </a:r>
        </a:p>
        <a:p>
          <a:pPr marL="0" indent="0" algn="l"/>
          <a:endParaRPr lang="en-US" sz="1100" b="0">
            <a:solidFill>
              <a:schemeClr val="dk1"/>
            </a:solidFill>
            <a:latin typeface="+mn-lt"/>
            <a:ea typeface="+mn-lt"/>
            <a:cs typeface="+mn-lt"/>
          </a:endParaRPr>
        </a:p>
        <a:p>
          <a:pPr marL="0" indent="0" algn="l"/>
          <a:r>
            <a:rPr lang="en-US" sz="1100" b="0">
              <a:solidFill>
                <a:schemeClr val="dk1"/>
              </a:solidFill>
              <a:latin typeface="+mn-lt"/>
              <a:ea typeface="+mn-lt"/>
              <a:cs typeface="+mn-lt"/>
            </a:rPr>
            <a:t>Podsumowując, Atende S.A. jest spółką o dobrej sytuacji finansowej, wysokim poziomie bezpieczeństwa i dużym potencjale dalszego rozwoju. Główne obszary, które powinny być nadal monitorowane, to presja kosztowa oraz wydłużający się okres spływu należności, jednak obecny poziom płynności i silne przepływy pieniężne skutecznie ograniczają związane z nimi ryzyka.</a:t>
          </a:r>
        </a:p>
        <a:p>
          <a:pPr marL="0" indent="0" algn="l"/>
          <a:endParaRPr lang="en-US" sz="1100">
            <a:solidFill>
              <a:schemeClr val="dk1"/>
            </a:solidFill>
            <a:latin typeface="+mn-lt"/>
            <a:ea typeface="+mn-lt"/>
            <a:cs typeface="+mn-lt"/>
          </a:endParaRP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8" xr16:uid="{00000000-0016-0000-0300-000000000000}" autoFormatId="16" applyNumberFormats="0" applyBorderFormats="0" applyFontFormats="0" applyPatternFormats="0" applyAlignmentFormats="0" applyWidthHeightFormats="0">
  <queryTableRefresh nextId="5" unboundColumnsRight="1">
    <queryTableFields count="4">
      <queryTableField id="1" name="Column1" tableColumnId="1"/>
      <queryTableField id="2" name="Column2" tableColumnId="2"/>
      <queryTableField id="3" name="Column3"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1000000}" autoFormatId="16" applyNumberFormats="0" applyBorderFormats="0" applyFontFormats="0" applyPatternFormats="0" applyAlignmentFormats="0" applyWidthHeightFormats="0">
  <queryTableRefresh nextId="6" unboundColumnsRight="1">
    <queryTableFields count="5">
      <queryTableField id="1" name="AKTYWA" tableColumnId="1"/>
      <queryTableField id="2" name="Nota" tableColumnId="2"/>
      <queryTableField id="3" name="stan na_x000a_31.12.2024" tableColumnId="3"/>
      <queryTableField id="4" name="stan na_x000a_31.12.2023" tableColumnId="4"/>
      <queryTableField id="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00000000-0016-0000-0400-000002000000}" autoFormatId="16" applyNumberFormats="0" applyBorderFormats="0" applyFontFormats="0" applyPatternFormats="0" applyAlignmentFormats="0" applyWidthHeightFormats="0">
  <queryTableRefresh nextId="6" unboundColumnsRight="1">
    <queryTableFields count="5">
      <queryTableField id="1" name="PASYWA" tableColumnId="1"/>
      <queryTableField id="2" name="Nota" tableColumnId="2"/>
      <queryTableField id="3" name="stan na_x000a_31.12.2024" tableColumnId="3"/>
      <queryTableField id="4" name="stan na_x000a_31.12.2023" tableColumnId="4"/>
      <queryTableField id="5" dataBound="0"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00000000-0016-0000-0500-000003000000}" autoFormatId="16" applyNumberFormats="0" applyBorderFormats="0" applyFontFormats="0" applyPatternFormats="0" applyAlignmentFormats="0" applyWidthHeightFormats="0">
  <queryTableRefresh nextId="6" unboundColumnsRight="1">
    <queryTableFields count="5">
      <queryTableField id="1" name="Column1" tableColumnId="1"/>
      <queryTableField id="2" name="Nota" tableColumnId="2"/>
      <queryTableField id="3" name="2024 r." tableColumnId="3"/>
      <queryTableField id="4" name="2023 r."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90A8BD-C214-4D8D-B485-F11C442FEBD6}" name="Table005__Page_6" displayName="Table005__Page_6" ref="A1:D44" tableType="queryTable" totalsRowShown="0">
  <autoFilter ref="A1:D44" xr:uid="{DB90A8BD-C214-4D8D-B485-F11C442FEBD6}"/>
  <tableColumns count="4">
    <tableColumn id="1" xr3:uid="{FC0B7C4D-ED32-4C5A-A04B-670B6FDD5049}" uniqueName="1" name="Kolumna3" queryTableFieldId="1" dataDxfId="13"/>
    <tableColumn id="2" xr3:uid="{E68BE3AD-F31B-4ED3-B1F5-80113D211DA3}" uniqueName="2" name="Kolumna2" queryTableFieldId="2" dataDxfId="12"/>
    <tableColumn id="3" xr3:uid="{AB4B9783-63E9-4BA9-A04B-E783F8DE4C17}" uniqueName="3" name="Kolumna1" queryTableFieldId="3" dataDxfId="11"/>
    <tableColumn id="4" xr3:uid="{D3FB393C-4E0D-4C17-BC0A-143B8F6EA5E2}" uniqueName="4" name="Kolumna12" queryTableFieldId="4" dataDxfId="1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49B049-D48C-4400-B630-4107AEB1C5ED}" name="Table002__Page_3" displayName="Table002__Page_3" ref="A1:E20" tableType="queryTable" totalsRowShown="0">
  <autoFilter ref="A1:E20" xr:uid="{DA49B049-D48C-4400-B630-4107AEB1C5ED}"/>
  <tableColumns count="5">
    <tableColumn id="1" xr3:uid="{A44B77C1-E780-437F-986F-284DBC98578F}" uniqueName="1" name="AKTYWA" queryTableFieldId="1" dataDxfId="9"/>
    <tableColumn id="2" xr3:uid="{DE74E286-3268-46B1-9B0B-4AC57B1379B1}" uniqueName="2" name="Nota" queryTableFieldId="2"/>
    <tableColumn id="3" xr3:uid="{E968D8D6-487F-4AD4-9E6D-DDF0F65668C7}" uniqueName="3" name="stan na_x000a_31.12.2024" queryTableFieldId="3" dataDxfId="8"/>
    <tableColumn id="4" xr3:uid="{8B4317B5-5E91-4279-BEC4-ADB2FC244512}" uniqueName="4" name="stan na_x000a_31.12.2023" queryTableFieldId="4"/>
    <tableColumn id="5" xr3:uid="{537C436E-0BD9-435D-9173-35A70B939CDD}" uniqueName="5" name="stan na_x000a_31.12.2022" queryTableFieldId="5" dataDxfId="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9AFE1E-C42E-414B-B25B-6F8C95A25E93}" name="Table003__Page_44" displayName="Table003__Page_44" ref="A21:E43" tableType="queryTable" totalsRowShown="0">
  <autoFilter ref="A21:E43" xr:uid="{A19AFE1E-C42E-414B-B25B-6F8C95A25E93}"/>
  <tableColumns count="5">
    <tableColumn id="1" xr3:uid="{BA1E67BC-A14A-41E9-ADD8-B167191F47FB}" uniqueName="1" name="PASYWA" queryTableFieldId="1" dataDxfId="6"/>
    <tableColumn id="2" xr3:uid="{133D8799-98EB-4E03-B94E-14D20CCFF05D}" uniqueName="2" name="Nota" queryTableFieldId="2"/>
    <tableColumn id="3" xr3:uid="{1EAC21EE-EB21-44C7-9D86-77EEEAEF9D7F}" uniqueName="3" name="stan na_x000a_31.12.2024" queryTableFieldId="3" dataDxfId="5"/>
    <tableColumn id="4" xr3:uid="{2BE071B9-9D1F-4DD0-9329-03F394A46CEA}" uniqueName="4" name="0" queryTableFieldId="4"/>
    <tableColumn id="5" xr3:uid="{AC0692AD-7BEF-4909-9B2E-C49A807FDE3A}" uniqueName="5" name="stan na_x000a_31.12.2022" queryTableFieldId="5" dataDxfId="4"/>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F3E0618-D9BD-429A-8222-A79A7262FC9F}" name="Table004__Page_5" displayName="Table004__Page_5" ref="A1:E22" tableType="queryTable" totalsRowShown="0">
  <autoFilter ref="A1:E22" xr:uid="{9F3E0618-D9BD-429A-8222-A79A7262FC9F}"/>
  <tableColumns count="5">
    <tableColumn id="1" xr3:uid="{C7D66806-D88B-4396-9F78-1661DE8C63A2}" uniqueName="1" name="Kolumna1" queryTableFieldId="1" dataDxfId="3"/>
    <tableColumn id="2" xr3:uid="{5B37051A-8FD6-4285-AF7E-69B5428FB99E}" uniqueName="2" name="Nota" queryTableFieldId="2"/>
    <tableColumn id="3" xr3:uid="{D4DDEF1A-B97B-474B-A4BF-1CA55636A0CE}" uniqueName="3" name="2024 r." queryTableFieldId="3" dataDxfId="2"/>
    <tableColumn id="4" xr3:uid="{6C0514BF-0C35-4928-8552-0CB783D6B9E0}" uniqueName="4" name="2023 r." queryTableFieldId="4" dataDxfId="1"/>
    <tableColumn id="5" xr3:uid="{2B5C11EF-563F-4751-AA4C-853CF9FCCE29}" uniqueName="5" name="2022 r." queryTableFieldId="5" dataDxfId="0"/>
  </tableColumns>
  <tableStyleInfo name="TableStyleMedium4"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1563-7CEA-4EB8-B886-01437007EE52}">
  <dimension ref="A1:M17"/>
  <sheetViews>
    <sheetView workbookViewId="0">
      <selection activeCell="I20" sqref="I20"/>
    </sheetView>
  </sheetViews>
  <sheetFormatPr defaultRowHeight="14.4" x14ac:dyDescent="0.3"/>
  <sheetData>
    <row r="1" spans="1:13" x14ac:dyDescent="0.3">
      <c r="A1" s="143" t="s">
        <v>0</v>
      </c>
      <c r="B1" s="144"/>
      <c r="C1" s="144"/>
      <c r="D1" s="144"/>
      <c r="E1" s="144"/>
      <c r="F1" s="144"/>
      <c r="G1" s="144"/>
      <c r="H1" s="144"/>
      <c r="I1" s="144"/>
      <c r="J1" s="144"/>
      <c r="K1" s="144"/>
      <c r="L1" s="144"/>
      <c r="M1" s="145"/>
    </row>
    <row r="2" spans="1:13" x14ac:dyDescent="0.3">
      <c r="A2" s="146"/>
      <c r="B2" s="147"/>
      <c r="C2" s="147"/>
      <c r="D2" s="147"/>
      <c r="E2" s="147"/>
      <c r="F2" s="147"/>
      <c r="G2" s="147"/>
      <c r="H2" s="147"/>
      <c r="I2" s="147"/>
      <c r="J2" s="147"/>
      <c r="K2" s="147"/>
      <c r="L2" s="147"/>
      <c r="M2" s="148"/>
    </row>
    <row r="3" spans="1:13" x14ac:dyDescent="0.3">
      <c r="A3" s="146"/>
      <c r="B3" s="147"/>
      <c r="C3" s="147"/>
      <c r="D3" s="147"/>
      <c r="E3" s="147"/>
      <c r="F3" s="147"/>
      <c r="G3" s="147"/>
      <c r="H3" s="147"/>
      <c r="I3" s="147"/>
      <c r="J3" s="147"/>
      <c r="K3" s="147"/>
      <c r="L3" s="147"/>
      <c r="M3" s="148"/>
    </row>
    <row r="4" spans="1:13" x14ac:dyDescent="0.3">
      <c r="A4" s="146"/>
      <c r="B4" s="147"/>
      <c r="C4" s="147"/>
      <c r="D4" s="147"/>
      <c r="E4" s="147"/>
      <c r="F4" s="147"/>
      <c r="G4" s="147"/>
      <c r="H4" s="147"/>
      <c r="I4" s="147"/>
      <c r="J4" s="147"/>
      <c r="K4" s="147"/>
      <c r="L4" s="147"/>
      <c r="M4" s="148"/>
    </row>
    <row r="5" spans="1:13" x14ac:dyDescent="0.3">
      <c r="A5" s="146"/>
      <c r="B5" s="147"/>
      <c r="C5" s="147"/>
      <c r="D5" s="147"/>
      <c r="E5" s="147"/>
      <c r="F5" s="147"/>
      <c r="G5" s="147"/>
      <c r="H5" s="147"/>
      <c r="I5" s="147"/>
      <c r="J5" s="147"/>
      <c r="K5" s="147"/>
      <c r="L5" s="147"/>
      <c r="M5" s="148"/>
    </row>
    <row r="6" spans="1:13" x14ac:dyDescent="0.3">
      <c r="A6" s="146"/>
      <c r="B6" s="147"/>
      <c r="C6" s="147"/>
      <c r="D6" s="147"/>
      <c r="E6" s="147"/>
      <c r="F6" s="147"/>
      <c r="G6" s="147"/>
      <c r="H6" s="147"/>
      <c r="I6" s="147"/>
      <c r="J6" s="147"/>
      <c r="K6" s="147"/>
      <c r="L6" s="147"/>
      <c r="M6" s="148"/>
    </row>
    <row r="7" spans="1:13" x14ac:dyDescent="0.3">
      <c r="A7" s="146"/>
      <c r="B7" s="147"/>
      <c r="C7" s="147"/>
      <c r="D7" s="147"/>
      <c r="E7" s="147"/>
      <c r="F7" s="147"/>
      <c r="G7" s="147"/>
      <c r="H7" s="147"/>
      <c r="I7" s="147"/>
      <c r="J7" s="147"/>
      <c r="K7" s="147"/>
      <c r="L7" s="147"/>
      <c r="M7" s="148"/>
    </row>
    <row r="8" spans="1:13" x14ac:dyDescent="0.3">
      <c r="A8" s="146"/>
      <c r="B8" s="147"/>
      <c r="C8" s="147"/>
      <c r="D8" s="147"/>
      <c r="E8" s="147"/>
      <c r="F8" s="147"/>
      <c r="G8" s="147"/>
      <c r="H8" s="147"/>
      <c r="I8" s="147"/>
      <c r="J8" s="147"/>
      <c r="K8" s="147"/>
      <c r="L8" s="147"/>
      <c r="M8" s="148"/>
    </row>
    <row r="9" spans="1:13" x14ac:dyDescent="0.3">
      <c r="A9" s="146"/>
      <c r="B9" s="147"/>
      <c r="C9" s="147"/>
      <c r="D9" s="147"/>
      <c r="E9" s="147"/>
      <c r="F9" s="147"/>
      <c r="G9" s="147"/>
      <c r="H9" s="147"/>
      <c r="I9" s="147"/>
      <c r="J9" s="147"/>
      <c r="K9" s="147"/>
      <c r="L9" s="147"/>
      <c r="M9" s="148"/>
    </row>
    <row r="10" spans="1:13" x14ac:dyDescent="0.3">
      <c r="A10" s="146"/>
      <c r="B10" s="147"/>
      <c r="C10" s="147"/>
      <c r="D10" s="147"/>
      <c r="E10" s="147"/>
      <c r="F10" s="147"/>
      <c r="G10" s="147"/>
      <c r="H10" s="147"/>
      <c r="I10" s="147"/>
      <c r="J10" s="147"/>
      <c r="K10" s="147"/>
      <c r="L10" s="147"/>
      <c r="M10" s="148"/>
    </row>
    <row r="11" spans="1:13" x14ac:dyDescent="0.3">
      <c r="A11" s="146"/>
      <c r="B11" s="147"/>
      <c r="C11" s="147"/>
      <c r="D11" s="147"/>
      <c r="E11" s="147"/>
      <c r="F11" s="147"/>
      <c r="G11" s="147"/>
      <c r="H11" s="147"/>
      <c r="I11" s="147"/>
      <c r="J11" s="147"/>
      <c r="K11" s="147"/>
      <c r="L11" s="147"/>
      <c r="M11" s="148"/>
    </row>
    <row r="12" spans="1:13" x14ac:dyDescent="0.3">
      <c r="A12" s="146"/>
      <c r="B12" s="147"/>
      <c r="C12" s="147"/>
      <c r="D12" s="147"/>
      <c r="E12" s="147"/>
      <c r="F12" s="147"/>
      <c r="G12" s="147"/>
      <c r="H12" s="147"/>
      <c r="I12" s="147"/>
      <c r="J12" s="147"/>
      <c r="K12" s="147"/>
      <c r="L12" s="147"/>
      <c r="M12" s="148"/>
    </row>
    <row r="13" spans="1:13" x14ac:dyDescent="0.3">
      <c r="A13" s="146"/>
      <c r="B13" s="147"/>
      <c r="C13" s="147"/>
      <c r="D13" s="147"/>
      <c r="E13" s="147"/>
      <c r="F13" s="147"/>
      <c r="G13" s="147"/>
      <c r="H13" s="147"/>
      <c r="I13" s="147"/>
      <c r="J13" s="147"/>
      <c r="K13" s="147"/>
      <c r="L13" s="147"/>
      <c r="M13" s="148"/>
    </row>
    <row r="14" spans="1:13" x14ac:dyDescent="0.3">
      <c r="A14" s="146"/>
      <c r="B14" s="147"/>
      <c r="C14" s="147"/>
      <c r="D14" s="147"/>
      <c r="E14" s="147"/>
      <c r="F14" s="147"/>
      <c r="G14" s="147"/>
      <c r="H14" s="147"/>
      <c r="I14" s="147"/>
      <c r="J14" s="147"/>
      <c r="K14" s="147"/>
      <c r="L14" s="147"/>
      <c r="M14" s="148"/>
    </row>
    <row r="15" spans="1:13" x14ac:dyDescent="0.3">
      <c r="A15" s="146"/>
      <c r="B15" s="147"/>
      <c r="C15" s="147"/>
      <c r="D15" s="147"/>
      <c r="E15" s="147"/>
      <c r="F15" s="147"/>
      <c r="G15" s="147"/>
      <c r="H15" s="147"/>
      <c r="I15" s="147"/>
      <c r="J15" s="147"/>
      <c r="K15" s="147"/>
      <c r="L15" s="147"/>
      <c r="M15" s="148"/>
    </row>
    <row r="16" spans="1:13" x14ac:dyDescent="0.3">
      <c r="A16" s="146"/>
      <c r="B16" s="147"/>
      <c r="C16" s="147"/>
      <c r="D16" s="147"/>
      <c r="E16" s="147"/>
      <c r="F16" s="147"/>
      <c r="G16" s="147"/>
      <c r="H16" s="147"/>
      <c r="I16" s="147"/>
      <c r="J16" s="147"/>
      <c r="K16" s="147"/>
      <c r="L16" s="147"/>
      <c r="M16" s="148"/>
    </row>
    <row r="17" spans="1:13" ht="15" thickBot="1" x14ac:dyDescent="0.35">
      <c r="A17" s="149"/>
      <c r="B17" s="150"/>
      <c r="C17" s="150"/>
      <c r="D17" s="150"/>
      <c r="E17" s="150"/>
      <c r="F17" s="150"/>
      <c r="G17" s="150"/>
      <c r="H17" s="150"/>
      <c r="I17" s="150"/>
      <c r="J17" s="150"/>
      <c r="K17" s="150"/>
      <c r="L17" s="150"/>
      <c r="M17" s="151"/>
    </row>
  </sheetData>
  <mergeCells count="1">
    <mergeCell ref="A1:M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503E-CD13-4916-A98E-3022783BEAF3}">
  <dimension ref="A1:N19"/>
  <sheetViews>
    <sheetView workbookViewId="0">
      <selection activeCell="I24" sqref="I24"/>
    </sheetView>
  </sheetViews>
  <sheetFormatPr defaultRowHeight="14.4" x14ac:dyDescent="0.3"/>
  <sheetData>
    <row r="1" spans="1:14" x14ac:dyDescent="0.3">
      <c r="A1" s="152" t="s">
        <v>1</v>
      </c>
      <c r="B1" s="153"/>
      <c r="C1" s="153"/>
      <c r="D1" s="153"/>
      <c r="E1" s="153"/>
      <c r="F1" s="153"/>
      <c r="G1" s="153"/>
      <c r="H1" s="153"/>
      <c r="I1" s="153"/>
      <c r="J1" s="153"/>
      <c r="K1" s="153"/>
      <c r="L1" s="153"/>
      <c r="M1" s="153"/>
      <c r="N1" s="153"/>
    </row>
    <row r="2" spans="1:14" x14ac:dyDescent="0.3">
      <c r="A2" s="153"/>
      <c r="B2" s="153"/>
      <c r="C2" s="153"/>
      <c r="D2" s="153"/>
      <c r="E2" s="153"/>
      <c r="F2" s="153"/>
      <c r="G2" s="153"/>
      <c r="H2" s="153"/>
      <c r="I2" s="153"/>
      <c r="J2" s="153"/>
      <c r="K2" s="153"/>
      <c r="L2" s="153"/>
      <c r="M2" s="153"/>
      <c r="N2" s="153"/>
    </row>
    <row r="3" spans="1:14" x14ac:dyDescent="0.3">
      <c r="A3" s="153"/>
      <c r="B3" s="153"/>
      <c r="C3" s="153"/>
      <c r="D3" s="153"/>
      <c r="E3" s="153"/>
      <c r="F3" s="153"/>
      <c r="G3" s="153"/>
      <c r="H3" s="153"/>
      <c r="I3" s="153"/>
      <c r="J3" s="153"/>
      <c r="K3" s="153"/>
      <c r="L3" s="153"/>
      <c r="M3" s="153"/>
      <c r="N3" s="153"/>
    </row>
    <row r="4" spans="1:14" x14ac:dyDescent="0.3">
      <c r="A4" s="153"/>
      <c r="B4" s="153"/>
      <c r="C4" s="153"/>
      <c r="D4" s="153"/>
      <c r="E4" s="153"/>
      <c r="F4" s="153"/>
      <c r="G4" s="153"/>
      <c r="H4" s="153"/>
      <c r="I4" s="153"/>
      <c r="J4" s="153"/>
      <c r="K4" s="153"/>
      <c r="L4" s="153"/>
      <c r="M4" s="153"/>
      <c r="N4" s="153"/>
    </row>
    <row r="5" spans="1:14" x14ac:dyDescent="0.3">
      <c r="A5" s="153"/>
      <c r="B5" s="153"/>
      <c r="C5" s="153"/>
      <c r="D5" s="153"/>
      <c r="E5" s="153"/>
      <c r="F5" s="153"/>
      <c r="G5" s="153"/>
      <c r="H5" s="153"/>
      <c r="I5" s="153"/>
      <c r="J5" s="153"/>
      <c r="K5" s="153"/>
      <c r="L5" s="153"/>
      <c r="M5" s="153"/>
      <c r="N5" s="153"/>
    </row>
    <row r="6" spans="1:14" x14ac:dyDescent="0.3">
      <c r="A6" s="153"/>
      <c r="B6" s="153"/>
      <c r="C6" s="153"/>
      <c r="D6" s="153"/>
      <c r="E6" s="153"/>
      <c r="F6" s="153"/>
      <c r="G6" s="153"/>
      <c r="H6" s="153"/>
      <c r="I6" s="153"/>
      <c r="J6" s="153"/>
      <c r="K6" s="153"/>
      <c r="L6" s="153"/>
      <c r="M6" s="153"/>
      <c r="N6" s="153"/>
    </row>
    <row r="7" spans="1:14" x14ac:dyDescent="0.3">
      <c r="A7" s="153"/>
      <c r="B7" s="153"/>
      <c r="C7" s="153"/>
      <c r="D7" s="153"/>
      <c r="E7" s="153"/>
      <c r="F7" s="153"/>
      <c r="G7" s="153"/>
      <c r="H7" s="153"/>
      <c r="I7" s="153"/>
      <c r="J7" s="153"/>
      <c r="K7" s="153"/>
      <c r="L7" s="153"/>
      <c r="M7" s="153"/>
      <c r="N7" s="153"/>
    </row>
    <row r="8" spans="1:14" x14ac:dyDescent="0.3">
      <c r="A8" s="153"/>
      <c r="B8" s="153"/>
      <c r="C8" s="153"/>
      <c r="D8" s="153"/>
      <c r="E8" s="153"/>
      <c r="F8" s="153"/>
      <c r="G8" s="153"/>
      <c r="H8" s="153"/>
      <c r="I8" s="153"/>
      <c r="J8" s="153"/>
      <c r="K8" s="153"/>
      <c r="L8" s="153"/>
      <c r="M8" s="153"/>
      <c r="N8" s="153"/>
    </row>
    <row r="9" spans="1:14" x14ac:dyDescent="0.3">
      <c r="A9" s="153"/>
      <c r="B9" s="153"/>
      <c r="C9" s="153"/>
      <c r="D9" s="153"/>
      <c r="E9" s="153"/>
      <c r="F9" s="153"/>
      <c r="G9" s="153"/>
      <c r="H9" s="153"/>
      <c r="I9" s="153"/>
      <c r="J9" s="153"/>
      <c r="K9" s="153"/>
      <c r="L9" s="153"/>
      <c r="M9" s="153"/>
      <c r="N9" s="153"/>
    </row>
    <row r="10" spans="1:14" x14ac:dyDescent="0.3">
      <c r="A10" s="153"/>
      <c r="B10" s="153"/>
      <c r="C10" s="153"/>
      <c r="D10" s="153"/>
      <c r="E10" s="153"/>
      <c r="F10" s="153"/>
      <c r="G10" s="153"/>
      <c r="H10" s="153"/>
      <c r="I10" s="153"/>
      <c r="J10" s="153"/>
      <c r="K10" s="153"/>
      <c r="L10" s="153"/>
      <c r="M10" s="153"/>
      <c r="N10" s="153"/>
    </row>
    <row r="11" spans="1:14" x14ac:dyDescent="0.3">
      <c r="A11" s="153"/>
      <c r="B11" s="153"/>
      <c r="C11" s="153"/>
      <c r="D11" s="153"/>
      <c r="E11" s="153"/>
      <c r="F11" s="153"/>
      <c r="G11" s="153"/>
      <c r="H11" s="153"/>
      <c r="I11" s="153"/>
      <c r="J11" s="153"/>
      <c r="K11" s="153"/>
      <c r="L11" s="153"/>
      <c r="M11" s="153"/>
      <c r="N11" s="153"/>
    </row>
    <row r="12" spans="1:14" x14ac:dyDescent="0.3">
      <c r="A12" s="153"/>
      <c r="B12" s="153"/>
      <c r="C12" s="153"/>
      <c r="D12" s="153"/>
      <c r="E12" s="153"/>
      <c r="F12" s="153"/>
      <c r="G12" s="153"/>
      <c r="H12" s="153"/>
      <c r="I12" s="153"/>
      <c r="J12" s="153"/>
      <c r="K12" s="153"/>
      <c r="L12" s="153"/>
      <c r="M12" s="153"/>
      <c r="N12" s="153"/>
    </row>
    <row r="13" spans="1:14" x14ac:dyDescent="0.3">
      <c r="A13" s="153"/>
      <c r="B13" s="153"/>
      <c r="C13" s="153"/>
      <c r="D13" s="153"/>
      <c r="E13" s="153"/>
      <c r="F13" s="153"/>
      <c r="G13" s="153"/>
      <c r="H13" s="153"/>
      <c r="I13" s="153"/>
      <c r="J13" s="153"/>
      <c r="K13" s="153"/>
      <c r="L13" s="153"/>
      <c r="M13" s="153"/>
      <c r="N13" s="153"/>
    </row>
    <row r="14" spans="1:14" x14ac:dyDescent="0.3">
      <c r="A14" s="153"/>
      <c r="B14" s="153"/>
      <c r="C14" s="153"/>
      <c r="D14" s="153"/>
      <c r="E14" s="153"/>
      <c r="F14" s="153"/>
      <c r="G14" s="153"/>
      <c r="H14" s="153"/>
      <c r="I14" s="153"/>
      <c r="J14" s="153"/>
      <c r="K14" s="153"/>
      <c r="L14" s="153"/>
      <c r="M14" s="153"/>
      <c r="N14" s="153"/>
    </row>
    <row r="15" spans="1:14" x14ac:dyDescent="0.3">
      <c r="A15" s="153"/>
      <c r="B15" s="153"/>
      <c r="C15" s="153"/>
      <c r="D15" s="153"/>
      <c r="E15" s="153"/>
      <c r="F15" s="153"/>
      <c r="G15" s="153"/>
      <c r="H15" s="153"/>
      <c r="I15" s="153"/>
      <c r="J15" s="153"/>
      <c r="K15" s="153"/>
      <c r="L15" s="153"/>
      <c r="M15" s="153"/>
      <c r="N15" s="153"/>
    </row>
    <row r="16" spans="1:14" x14ac:dyDescent="0.3">
      <c r="A16" s="153"/>
      <c r="B16" s="153"/>
      <c r="C16" s="153"/>
      <c r="D16" s="153"/>
      <c r="E16" s="153"/>
      <c r="F16" s="153"/>
      <c r="G16" s="153"/>
      <c r="H16" s="153"/>
      <c r="I16" s="153"/>
      <c r="J16" s="153"/>
      <c r="K16" s="153"/>
      <c r="L16" s="153"/>
      <c r="M16" s="153"/>
      <c r="N16" s="153"/>
    </row>
    <row r="17" spans="1:14" x14ac:dyDescent="0.3">
      <c r="A17" s="153"/>
      <c r="B17" s="153"/>
      <c r="C17" s="153"/>
      <c r="D17" s="153"/>
      <c r="E17" s="153"/>
      <c r="F17" s="153"/>
      <c r="G17" s="153"/>
      <c r="H17" s="153"/>
      <c r="I17" s="153"/>
      <c r="J17" s="153"/>
      <c r="K17" s="153"/>
      <c r="L17" s="153"/>
      <c r="M17" s="153"/>
      <c r="N17" s="153"/>
    </row>
    <row r="18" spans="1:14" x14ac:dyDescent="0.3">
      <c r="A18" s="153"/>
      <c r="B18" s="153"/>
      <c r="C18" s="153"/>
      <c r="D18" s="153"/>
      <c r="E18" s="153"/>
      <c r="F18" s="153"/>
      <c r="G18" s="153"/>
      <c r="H18" s="153"/>
      <c r="I18" s="153"/>
      <c r="J18" s="153"/>
      <c r="K18" s="153"/>
      <c r="L18" s="153"/>
      <c r="M18" s="153"/>
      <c r="N18" s="153"/>
    </row>
    <row r="19" spans="1:14" x14ac:dyDescent="0.3">
      <c r="A19" s="153"/>
      <c r="B19" s="153"/>
      <c r="C19" s="153"/>
      <c r="D19" s="153"/>
      <c r="E19" s="153"/>
      <c r="F19" s="153"/>
      <c r="G19" s="153"/>
      <c r="H19" s="153"/>
      <c r="I19" s="153"/>
      <c r="J19" s="153"/>
      <c r="K19" s="153"/>
      <c r="L19" s="153"/>
      <c r="M19" s="153"/>
      <c r="N19" s="153"/>
    </row>
  </sheetData>
  <mergeCells count="1">
    <mergeCell ref="A1:N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928A-0DDE-493F-A1F1-A99B1D935820}">
  <dimension ref="A1:G46"/>
  <sheetViews>
    <sheetView zoomScale="89" zoomScaleNormal="90" workbookViewId="0">
      <selection activeCell="B21" sqref="B21"/>
    </sheetView>
  </sheetViews>
  <sheetFormatPr defaultRowHeight="14.4" x14ac:dyDescent="0.3"/>
  <cols>
    <col min="1" max="1" width="60" bestFit="1" customWidth="1"/>
    <col min="2" max="3" width="16.77734375" bestFit="1" customWidth="1"/>
    <col min="4" max="4" width="16.44140625" bestFit="1" customWidth="1"/>
    <col min="6" max="6" width="27.6640625" bestFit="1" customWidth="1"/>
  </cols>
  <sheetData>
    <row r="1" spans="1:7" x14ac:dyDescent="0.3">
      <c r="A1" s="157" t="s">
        <v>2</v>
      </c>
      <c r="B1" s="157"/>
      <c r="C1" s="157"/>
      <c r="D1" s="158"/>
    </row>
    <row r="2" spans="1:7" x14ac:dyDescent="0.3">
      <c r="B2" t="s">
        <v>3</v>
      </c>
      <c r="C2" t="s">
        <v>4</v>
      </c>
      <c r="D2" s="49" t="s">
        <v>5</v>
      </c>
      <c r="F2" t="s">
        <v>6</v>
      </c>
      <c r="G2">
        <f>SUM(B8:D8)/3</f>
        <v>191400</v>
      </c>
    </row>
    <row r="3" spans="1:7" x14ac:dyDescent="0.3">
      <c r="A3" s="8" t="s">
        <v>7</v>
      </c>
      <c r="B3" s="17">
        <v>56391</v>
      </c>
      <c r="C3" s="71">
        <v>56561</v>
      </c>
      <c r="D3" s="71">
        <v>50372</v>
      </c>
      <c r="F3" t="s">
        <v>8</v>
      </c>
      <c r="G3">
        <f>SUM(B7:D7)/3</f>
        <v>5989.666666666667</v>
      </c>
    </row>
    <row r="4" spans="1:7" ht="13.95" customHeight="1" x14ac:dyDescent="0.3">
      <c r="A4" s="9" t="s">
        <v>9</v>
      </c>
      <c r="B4" s="55">
        <v>175331</v>
      </c>
      <c r="C4" s="72">
        <v>141886</v>
      </c>
      <c r="D4" s="73">
        <v>93659</v>
      </c>
      <c r="F4" t="s">
        <v>10</v>
      </c>
      <c r="G4">
        <f>SUM(B6:D6)/3</f>
        <v>51568.666666666664</v>
      </c>
    </row>
    <row r="5" spans="1:7" ht="13.95" customHeight="1" x14ac:dyDescent="0.3">
      <c r="A5" s="5" t="s">
        <v>11</v>
      </c>
      <c r="B5" s="11">
        <v>19703</v>
      </c>
      <c r="C5" s="1">
        <v>16640</v>
      </c>
      <c r="D5" s="74">
        <v>11460</v>
      </c>
    </row>
    <row r="6" spans="1:7" ht="13.95" customHeight="1" x14ac:dyDescent="0.3">
      <c r="A6" s="5" t="s">
        <v>12</v>
      </c>
      <c r="B6" s="13">
        <v>52788</v>
      </c>
      <c r="C6" s="1">
        <v>54008</v>
      </c>
      <c r="D6" s="74">
        <v>47910</v>
      </c>
    </row>
    <row r="7" spans="1:7" ht="13.95" customHeight="1" x14ac:dyDescent="0.3">
      <c r="A7" s="6" t="s">
        <v>13</v>
      </c>
      <c r="B7" s="15">
        <v>2645</v>
      </c>
      <c r="C7" s="1">
        <v>4099</v>
      </c>
      <c r="D7" s="74">
        <v>11225</v>
      </c>
    </row>
    <row r="8" spans="1:7" x14ac:dyDescent="0.3">
      <c r="A8" s="7" t="s">
        <v>14</v>
      </c>
      <c r="B8" s="56">
        <v>231722</v>
      </c>
      <c r="C8" s="54">
        <v>198447</v>
      </c>
      <c r="D8" s="59">
        <v>144031</v>
      </c>
    </row>
    <row r="10" spans="1:7" x14ac:dyDescent="0.3">
      <c r="A10" s="8" t="s">
        <v>15</v>
      </c>
      <c r="B10" s="17">
        <v>86052</v>
      </c>
      <c r="C10" s="17">
        <v>83224</v>
      </c>
      <c r="D10" s="17">
        <v>70018</v>
      </c>
    </row>
    <row r="11" spans="1:7" x14ac:dyDescent="0.3">
      <c r="A11" s="8" t="s">
        <v>16</v>
      </c>
      <c r="B11" s="17">
        <v>22533</v>
      </c>
      <c r="C11" s="17">
        <v>21514</v>
      </c>
      <c r="D11" s="17">
        <v>8255</v>
      </c>
    </row>
    <row r="12" spans="1:7" x14ac:dyDescent="0.3">
      <c r="A12" s="8" t="s">
        <v>17</v>
      </c>
      <c r="B12" s="17">
        <v>123137</v>
      </c>
      <c r="C12" s="17">
        <v>93709</v>
      </c>
      <c r="D12" s="17">
        <v>65758</v>
      </c>
    </row>
    <row r="13" spans="1:7" x14ac:dyDescent="0.3">
      <c r="A13" s="4" t="s">
        <v>18</v>
      </c>
      <c r="B13" s="10">
        <v>76121</v>
      </c>
      <c r="C13" s="10">
        <v>41993</v>
      </c>
      <c r="D13" s="10">
        <v>32874</v>
      </c>
    </row>
    <row r="14" spans="1:7" x14ac:dyDescent="0.3">
      <c r="A14" s="53" t="s">
        <v>19</v>
      </c>
      <c r="B14" s="10">
        <v>231722</v>
      </c>
      <c r="C14" s="10">
        <v>198447</v>
      </c>
      <c r="D14" s="10">
        <v>144031</v>
      </c>
    </row>
    <row r="17" spans="1:4" x14ac:dyDescent="0.3">
      <c r="A17" s="154" t="s">
        <v>20</v>
      </c>
      <c r="B17" s="155"/>
      <c r="C17" s="155"/>
      <c r="D17" s="156"/>
    </row>
    <row r="18" spans="1:4" x14ac:dyDescent="0.3">
      <c r="A18" s="6"/>
      <c r="B18" s="6" t="s">
        <v>3</v>
      </c>
      <c r="C18" s="28" t="s">
        <v>4</v>
      </c>
      <c r="D18" s="50" t="s">
        <v>5</v>
      </c>
    </row>
    <row r="19" spans="1:4" x14ac:dyDescent="0.3">
      <c r="A19" s="35" t="s">
        <v>21</v>
      </c>
      <c r="B19" s="10">
        <v>307209</v>
      </c>
      <c r="C19" s="10">
        <v>291027</v>
      </c>
      <c r="D19" s="70">
        <v>198413</v>
      </c>
    </row>
    <row r="20" spans="1:4" x14ac:dyDescent="0.3">
      <c r="A20" s="4" t="s">
        <v>22</v>
      </c>
      <c r="B20" s="10">
        <v>255102</v>
      </c>
      <c r="C20" s="10">
        <v>234233</v>
      </c>
      <c r="D20" s="10">
        <v>160148</v>
      </c>
    </row>
    <row r="21" spans="1:4" x14ac:dyDescent="0.3">
      <c r="A21" s="4" t="s">
        <v>23</v>
      </c>
      <c r="B21" s="10">
        <v>52107</v>
      </c>
      <c r="C21" s="10">
        <v>56794</v>
      </c>
      <c r="D21" s="10">
        <v>38265</v>
      </c>
    </row>
    <row r="22" spans="1:4" x14ac:dyDescent="0.3">
      <c r="A22" s="4" t="s">
        <v>24</v>
      </c>
      <c r="B22" s="10">
        <v>11882</v>
      </c>
      <c r="C22" s="10">
        <v>17319</v>
      </c>
      <c r="D22" s="10">
        <v>1340</v>
      </c>
    </row>
    <row r="23" spans="1:4" x14ac:dyDescent="0.3">
      <c r="A23" s="4" t="s">
        <v>25</v>
      </c>
      <c r="B23" s="10">
        <v>13008</v>
      </c>
      <c r="C23" s="10">
        <v>16550</v>
      </c>
      <c r="D23" s="10">
        <v>1096</v>
      </c>
    </row>
    <row r="24" spans="1:4" x14ac:dyDescent="0.3">
      <c r="A24" s="35" t="s">
        <v>26</v>
      </c>
      <c r="B24" s="10">
        <v>10319</v>
      </c>
      <c r="C24" s="10">
        <v>13269</v>
      </c>
      <c r="D24" s="10">
        <v>715</v>
      </c>
    </row>
    <row r="27" spans="1:4" x14ac:dyDescent="0.3">
      <c r="A27" s="154" t="s">
        <v>27</v>
      </c>
      <c r="B27" s="155"/>
      <c r="C27" s="155"/>
      <c r="D27" s="156"/>
    </row>
    <row r="28" spans="1:4" x14ac:dyDescent="0.3">
      <c r="A28" s="2"/>
      <c r="B28" s="3" t="s">
        <v>3</v>
      </c>
      <c r="C28" t="s">
        <v>4</v>
      </c>
      <c r="D28" s="75" t="s">
        <v>5</v>
      </c>
    </row>
    <row r="29" spans="1:4" x14ac:dyDescent="0.3">
      <c r="A29" s="20" t="s">
        <v>28</v>
      </c>
      <c r="B29" s="21"/>
      <c r="C29" s="22"/>
      <c r="D29" s="48"/>
    </row>
    <row r="30" spans="1:4" x14ac:dyDescent="0.3">
      <c r="A30" s="23" t="s">
        <v>29</v>
      </c>
      <c r="B30" s="1">
        <v>13008</v>
      </c>
      <c r="C30" s="14">
        <v>16550</v>
      </c>
      <c r="D30" s="14">
        <v>1096</v>
      </c>
    </row>
    <row r="31" spans="1:4" x14ac:dyDescent="0.3">
      <c r="A31" s="29" t="s">
        <v>30</v>
      </c>
      <c r="B31" s="30">
        <v>56797</v>
      </c>
      <c r="C31" s="31">
        <v>39842</v>
      </c>
      <c r="D31" s="31">
        <v>12062</v>
      </c>
    </row>
    <row r="32" spans="1:4" x14ac:dyDescent="0.3">
      <c r="A32" s="34" t="s">
        <v>31</v>
      </c>
      <c r="B32" s="30">
        <v>54644</v>
      </c>
      <c r="C32" s="31">
        <v>37177</v>
      </c>
      <c r="D32" s="12">
        <v>12062</v>
      </c>
    </row>
    <row r="33" spans="1:4" x14ac:dyDescent="0.3">
      <c r="A33" s="20" t="s">
        <v>32</v>
      </c>
      <c r="B33" s="26"/>
      <c r="C33" s="27"/>
      <c r="D33" s="76"/>
    </row>
    <row r="34" spans="1:4" x14ac:dyDescent="0.3">
      <c r="A34" s="29" t="s">
        <v>33</v>
      </c>
      <c r="B34" s="32">
        <v>1900</v>
      </c>
      <c r="C34" s="33">
        <v>2330</v>
      </c>
      <c r="D34" s="38">
        <v>300</v>
      </c>
    </row>
    <row r="35" spans="1:4" x14ac:dyDescent="0.3">
      <c r="A35" s="29" t="s">
        <v>34</v>
      </c>
      <c r="B35" s="30">
        <v>24893</v>
      </c>
      <c r="C35" s="31">
        <v>24115</v>
      </c>
      <c r="D35" s="31">
        <v>3221</v>
      </c>
    </row>
    <row r="36" spans="1:4" x14ac:dyDescent="0.3">
      <c r="A36" s="24" t="s">
        <v>35</v>
      </c>
      <c r="B36" s="25">
        <v>-22993</v>
      </c>
      <c r="C36" s="16">
        <v>-21785</v>
      </c>
      <c r="D36" s="16">
        <v>-2921</v>
      </c>
    </row>
    <row r="37" spans="1:4" x14ac:dyDescent="0.3">
      <c r="A37" s="20" t="s">
        <v>36</v>
      </c>
      <c r="B37" s="26"/>
      <c r="C37" s="27"/>
      <c r="D37" s="27"/>
    </row>
    <row r="38" spans="1:4" x14ac:dyDescent="0.3">
      <c r="A38" s="29" t="s">
        <v>33</v>
      </c>
      <c r="B38" s="30">
        <v>9490</v>
      </c>
      <c r="C38" s="31">
        <v>8036</v>
      </c>
      <c r="D38" s="31">
        <v>9651</v>
      </c>
    </row>
    <row r="39" spans="1:4" x14ac:dyDescent="0.3">
      <c r="A39" s="29" t="s">
        <v>34</v>
      </c>
      <c r="B39" s="30">
        <v>18992</v>
      </c>
      <c r="C39" s="31">
        <v>6780</v>
      </c>
      <c r="D39" s="31">
        <v>12622</v>
      </c>
    </row>
    <row r="40" spans="1:4" x14ac:dyDescent="0.3">
      <c r="A40" s="36" t="s">
        <v>37</v>
      </c>
      <c r="B40" s="37">
        <v>9889</v>
      </c>
      <c r="C40" s="12">
        <v>2851</v>
      </c>
      <c r="D40" s="12">
        <v>8759</v>
      </c>
    </row>
    <row r="41" spans="1:4" x14ac:dyDescent="0.3">
      <c r="A41" s="23" t="s">
        <v>38</v>
      </c>
      <c r="B41" s="1">
        <v>5088</v>
      </c>
      <c r="C41" s="14" t="s">
        <v>39</v>
      </c>
      <c r="D41" s="14" t="s">
        <v>39</v>
      </c>
    </row>
    <row r="42" spans="1:4" x14ac:dyDescent="0.3">
      <c r="A42" s="28" t="s">
        <v>40</v>
      </c>
      <c r="B42" s="25">
        <v>1051</v>
      </c>
      <c r="C42" s="38">
        <v>314</v>
      </c>
      <c r="D42" s="38">
        <v>361</v>
      </c>
    </row>
    <row r="43" spans="1:4" x14ac:dyDescent="0.3">
      <c r="A43" s="34" t="s">
        <v>41</v>
      </c>
      <c r="B43" s="30">
        <v>-9502</v>
      </c>
      <c r="C43" s="31">
        <v>1256</v>
      </c>
      <c r="D43" s="31">
        <v>-2970</v>
      </c>
    </row>
    <row r="44" spans="1:4" x14ac:dyDescent="0.3">
      <c r="A44" s="18" t="s">
        <v>42</v>
      </c>
      <c r="B44" s="19">
        <v>22149</v>
      </c>
      <c r="C44" s="19">
        <v>16648</v>
      </c>
      <c r="D44" s="19">
        <v>6171</v>
      </c>
    </row>
    <row r="45" spans="1:4" x14ac:dyDescent="0.3">
      <c r="A45" s="4" t="s">
        <v>43</v>
      </c>
      <c r="B45" s="10">
        <v>29632</v>
      </c>
      <c r="C45" s="10">
        <v>12984</v>
      </c>
      <c r="D45" s="10">
        <v>6813</v>
      </c>
    </row>
    <row r="46" spans="1:4" x14ac:dyDescent="0.3">
      <c r="A46" s="4" t="s">
        <v>44</v>
      </c>
      <c r="B46" s="10">
        <v>51781</v>
      </c>
      <c r="C46" s="10">
        <v>29632</v>
      </c>
      <c r="D46" s="10">
        <v>12984</v>
      </c>
    </row>
  </sheetData>
  <mergeCells count="3">
    <mergeCell ref="A17:D17"/>
    <mergeCell ref="A1:D1"/>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82F8-6457-4DD2-8B64-DFD7248E4FBD}">
  <dimension ref="A1:D44"/>
  <sheetViews>
    <sheetView topLeftCell="A2" zoomScale="89" workbookViewId="0">
      <selection activeCell="L55" sqref="L55"/>
    </sheetView>
  </sheetViews>
  <sheetFormatPr defaultRowHeight="14.4" x14ac:dyDescent="0.3"/>
  <cols>
    <col min="1" max="1" width="57" bestFit="1" customWidth="1"/>
    <col min="2" max="4" width="12.21875" bestFit="1" customWidth="1"/>
  </cols>
  <sheetData>
    <row r="1" spans="1:4" hidden="1" x14ac:dyDescent="0.3">
      <c r="A1" t="s">
        <v>45</v>
      </c>
      <c r="B1" t="s">
        <v>46</v>
      </c>
      <c r="C1" t="s">
        <v>47</v>
      </c>
      <c r="D1" t="s">
        <v>48</v>
      </c>
    </row>
    <row r="2" spans="1:4" x14ac:dyDescent="0.3">
      <c r="A2" s="46" t="s">
        <v>49</v>
      </c>
      <c r="B2" s="47" t="s">
        <v>50</v>
      </c>
      <c r="C2" s="47" t="s">
        <v>51</v>
      </c>
      <c r="D2" s="47" t="s">
        <v>52</v>
      </c>
    </row>
    <row r="3" spans="1:4" x14ac:dyDescent="0.3">
      <c r="A3" s="44" t="s">
        <v>53</v>
      </c>
      <c r="B3" s="45"/>
      <c r="C3" s="45" t="s">
        <v>49</v>
      </c>
      <c r="D3" s="45" t="s">
        <v>49</v>
      </c>
    </row>
    <row r="4" spans="1:4" x14ac:dyDescent="0.3">
      <c r="A4" s="39" t="s">
        <v>54</v>
      </c>
      <c r="B4" s="43" t="s">
        <v>55</v>
      </c>
      <c r="C4" s="43" t="s">
        <v>56</v>
      </c>
      <c r="D4" s="43" t="s">
        <v>57</v>
      </c>
    </row>
    <row r="5" spans="1:4" x14ac:dyDescent="0.3">
      <c r="A5" s="39" t="s">
        <v>58</v>
      </c>
      <c r="B5" s="43" t="s">
        <v>59</v>
      </c>
      <c r="C5" s="43" t="s">
        <v>60</v>
      </c>
      <c r="D5" s="43" t="s">
        <v>61</v>
      </c>
    </row>
    <row r="6" spans="1:4" x14ac:dyDescent="0.3">
      <c r="A6" s="39" t="s">
        <v>62</v>
      </c>
      <c r="B6" s="43" t="s">
        <v>63</v>
      </c>
      <c r="C6" s="43" t="s">
        <v>64</v>
      </c>
      <c r="D6" s="43" t="s">
        <v>65</v>
      </c>
    </row>
    <row r="7" spans="1:4" x14ac:dyDescent="0.3">
      <c r="A7" s="39" t="s">
        <v>66</v>
      </c>
      <c r="B7" s="43" t="s">
        <v>67</v>
      </c>
      <c r="C7" s="43" t="s">
        <v>68</v>
      </c>
      <c r="D7" s="43" t="s">
        <v>69</v>
      </c>
    </row>
    <row r="8" spans="1:4" x14ac:dyDescent="0.3">
      <c r="A8" s="39" t="s">
        <v>70</v>
      </c>
      <c r="B8" s="43" t="s">
        <v>71</v>
      </c>
      <c r="C8" s="43" t="s">
        <v>72</v>
      </c>
      <c r="D8" s="43" t="s">
        <v>73</v>
      </c>
    </row>
    <row r="9" spans="1:4" x14ac:dyDescent="0.3">
      <c r="A9" s="39" t="s">
        <v>74</v>
      </c>
      <c r="B9" s="43" t="s">
        <v>75</v>
      </c>
      <c r="C9" s="43" t="s">
        <v>76</v>
      </c>
      <c r="D9" s="43" t="s">
        <v>77</v>
      </c>
    </row>
    <row r="10" spans="1:4" x14ac:dyDescent="0.3">
      <c r="A10" s="39" t="s">
        <v>78</v>
      </c>
      <c r="B10" s="43" t="s">
        <v>79</v>
      </c>
      <c r="C10" s="43" t="s">
        <v>80</v>
      </c>
      <c r="D10" s="43" t="s">
        <v>81</v>
      </c>
    </row>
    <row r="11" spans="1:4" x14ac:dyDescent="0.3">
      <c r="A11" s="39" t="s">
        <v>82</v>
      </c>
      <c r="B11" s="43" t="s">
        <v>83</v>
      </c>
      <c r="C11" s="43" t="s">
        <v>84</v>
      </c>
      <c r="D11" s="43" t="s">
        <v>85</v>
      </c>
    </row>
    <row r="12" spans="1:4" x14ac:dyDescent="0.3">
      <c r="A12" s="39" t="s">
        <v>13</v>
      </c>
      <c r="B12" s="43" t="s">
        <v>86</v>
      </c>
      <c r="C12" s="43" t="s">
        <v>87</v>
      </c>
      <c r="D12" s="43" t="s">
        <v>88</v>
      </c>
    </row>
    <row r="13" spans="1:4" x14ac:dyDescent="0.3">
      <c r="A13" s="39" t="s">
        <v>89</v>
      </c>
      <c r="B13" s="43" t="s">
        <v>90</v>
      </c>
      <c r="C13" s="43" t="s">
        <v>91</v>
      </c>
      <c r="D13" s="43" t="s">
        <v>92</v>
      </c>
    </row>
    <row r="14" spans="1:4" x14ac:dyDescent="0.3">
      <c r="A14" s="39" t="s">
        <v>93</v>
      </c>
      <c r="B14" s="43" t="s">
        <v>94</v>
      </c>
      <c r="C14" s="43" t="s">
        <v>95</v>
      </c>
      <c r="D14" s="43" t="s">
        <v>96</v>
      </c>
    </row>
    <row r="15" spans="1:4" x14ac:dyDescent="0.3">
      <c r="A15" s="39" t="s">
        <v>97</v>
      </c>
      <c r="B15" s="43" t="s">
        <v>98</v>
      </c>
      <c r="C15" s="43" t="s">
        <v>99</v>
      </c>
      <c r="D15" s="43" t="s">
        <v>100</v>
      </c>
    </row>
    <row r="16" spans="1:4" x14ac:dyDescent="0.3">
      <c r="A16" s="39" t="s">
        <v>30</v>
      </c>
      <c r="B16" s="43" t="s">
        <v>101</v>
      </c>
      <c r="C16" s="43" t="s">
        <v>102</v>
      </c>
      <c r="D16" s="43" t="s">
        <v>103</v>
      </c>
    </row>
    <row r="17" spans="1:4" x14ac:dyDescent="0.3">
      <c r="A17" s="39" t="s">
        <v>104</v>
      </c>
      <c r="B17" s="43" t="s">
        <v>105</v>
      </c>
      <c r="C17" s="43" t="s">
        <v>106</v>
      </c>
      <c r="D17" s="43" t="s">
        <v>39</v>
      </c>
    </row>
    <row r="18" spans="1:4" x14ac:dyDescent="0.3">
      <c r="A18" s="39" t="s">
        <v>31</v>
      </c>
      <c r="B18" s="43" t="s">
        <v>107</v>
      </c>
      <c r="C18" s="43" t="s">
        <v>108</v>
      </c>
      <c r="D18" s="43" t="s">
        <v>103</v>
      </c>
    </row>
    <row r="19" spans="1:4" x14ac:dyDescent="0.3">
      <c r="A19" s="44" t="s">
        <v>32</v>
      </c>
      <c r="B19" s="45"/>
      <c r="C19" s="45" t="s">
        <v>49</v>
      </c>
      <c r="D19" s="45" t="s">
        <v>49</v>
      </c>
    </row>
    <row r="20" spans="1:4" x14ac:dyDescent="0.3">
      <c r="A20" s="39" t="s">
        <v>33</v>
      </c>
      <c r="B20" s="43" t="s">
        <v>109</v>
      </c>
      <c r="C20" s="43" t="s">
        <v>110</v>
      </c>
      <c r="D20" s="43" t="s">
        <v>111</v>
      </c>
    </row>
    <row r="21" spans="1:4" x14ac:dyDescent="0.3">
      <c r="A21" s="39" t="s">
        <v>112</v>
      </c>
      <c r="B21" s="43" t="s">
        <v>113</v>
      </c>
      <c r="C21" s="43" t="s">
        <v>114</v>
      </c>
      <c r="D21" s="43" t="s">
        <v>115</v>
      </c>
    </row>
    <row r="22" spans="1:4" x14ac:dyDescent="0.3">
      <c r="A22" s="39" t="s">
        <v>116</v>
      </c>
      <c r="B22" s="43" t="s">
        <v>117</v>
      </c>
      <c r="C22" s="43" t="s">
        <v>39</v>
      </c>
      <c r="D22" s="43" t="s">
        <v>118</v>
      </c>
    </row>
    <row r="23" spans="1:4" x14ac:dyDescent="0.3">
      <c r="A23" s="39" t="s">
        <v>119</v>
      </c>
      <c r="B23" s="43" t="s">
        <v>120</v>
      </c>
      <c r="C23" s="43" t="s">
        <v>121</v>
      </c>
      <c r="D23" s="43" t="s">
        <v>39</v>
      </c>
    </row>
    <row r="24" spans="1:4" x14ac:dyDescent="0.3">
      <c r="A24" s="39" t="s">
        <v>122</v>
      </c>
      <c r="B24" s="43" t="s">
        <v>123</v>
      </c>
      <c r="C24" s="43" t="s">
        <v>124</v>
      </c>
      <c r="D24" s="43" t="s">
        <v>125</v>
      </c>
    </row>
    <row r="25" spans="1:4" x14ac:dyDescent="0.3">
      <c r="A25" s="39" t="s">
        <v>34</v>
      </c>
      <c r="B25" s="43" t="s">
        <v>126</v>
      </c>
      <c r="C25" s="43" t="s">
        <v>127</v>
      </c>
      <c r="D25" s="43" t="s">
        <v>128</v>
      </c>
    </row>
    <row r="26" spans="1:4" x14ac:dyDescent="0.3">
      <c r="A26" s="39" t="s">
        <v>129</v>
      </c>
      <c r="B26" s="43" t="s">
        <v>130</v>
      </c>
      <c r="C26" s="43" t="s">
        <v>131</v>
      </c>
      <c r="D26" s="43" t="s">
        <v>132</v>
      </c>
    </row>
    <row r="27" spans="1:4" x14ac:dyDescent="0.3">
      <c r="A27" s="39" t="s">
        <v>133</v>
      </c>
      <c r="B27" s="43" t="s">
        <v>134</v>
      </c>
      <c r="C27" s="43" t="s">
        <v>135</v>
      </c>
      <c r="D27" s="43" t="s">
        <v>136</v>
      </c>
    </row>
    <row r="28" spans="1:4" x14ac:dyDescent="0.3">
      <c r="A28" s="39" t="s">
        <v>137</v>
      </c>
      <c r="B28" s="43" t="s">
        <v>39</v>
      </c>
      <c r="C28" s="43" t="s">
        <v>138</v>
      </c>
      <c r="D28" s="43" t="s">
        <v>39</v>
      </c>
    </row>
    <row r="29" spans="1:4" x14ac:dyDescent="0.3">
      <c r="A29" s="39" t="s">
        <v>35</v>
      </c>
      <c r="B29" s="43" t="s">
        <v>139</v>
      </c>
      <c r="C29" s="43" t="s">
        <v>140</v>
      </c>
      <c r="D29" s="43" t="s">
        <v>141</v>
      </c>
    </row>
    <row r="30" spans="1:4" x14ac:dyDescent="0.3">
      <c r="A30" s="44" t="s">
        <v>36</v>
      </c>
      <c r="B30" s="45"/>
      <c r="C30" s="45" t="s">
        <v>49</v>
      </c>
      <c r="D30" s="45" t="s">
        <v>49</v>
      </c>
    </row>
    <row r="31" spans="1:4" x14ac:dyDescent="0.3">
      <c r="A31" s="39" t="s">
        <v>33</v>
      </c>
      <c r="B31" s="51" t="s">
        <v>142</v>
      </c>
      <c r="C31" s="51" t="s">
        <v>143</v>
      </c>
      <c r="D31" s="51" t="s">
        <v>144</v>
      </c>
    </row>
    <row r="32" spans="1:4" x14ac:dyDescent="0.3">
      <c r="A32" s="39" t="s">
        <v>145</v>
      </c>
      <c r="B32" s="51" t="s">
        <v>142</v>
      </c>
      <c r="C32" s="51" t="s">
        <v>143</v>
      </c>
      <c r="D32" s="51" t="s">
        <v>144</v>
      </c>
    </row>
    <row r="33" spans="1:4" x14ac:dyDescent="0.3">
      <c r="A33" s="39" t="s">
        <v>34</v>
      </c>
      <c r="B33" s="51" t="s">
        <v>146</v>
      </c>
      <c r="C33" s="51" t="s">
        <v>147</v>
      </c>
      <c r="D33" s="51" t="s">
        <v>148</v>
      </c>
    </row>
    <row r="34" spans="1:4" x14ac:dyDescent="0.3">
      <c r="A34" s="39" t="s">
        <v>38</v>
      </c>
      <c r="B34" s="51">
        <v>5088</v>
      </c>
      <c r="C34" s="51" t="s">
        <v>39</v>
      </c>
      <c r="D34" s="51" t="s">
        <v>39</v>
      </c>
    </row>
    <row r="35" spans="1:4" x14ac:dyDescent="0.3">
      <c r="A35" s="39" t="s">
        <v>37</v>
      </c>
      <c r="B35" s="51" t="s">
        <v>149</v>
      </c>
      <c r="C35" s="51" t="s">
        <v>150</v>
      </c>
      <c r="D35" s="51">
        <v>8759</v>
      </c>
    </row>
    <row r="36" spans="1:4" x14ac:dyDescent="0.3">
      <c r="A36" s="39" t="s">
        <v>151</v>
      </c>
      <c r="B36" s="51" t="s">
        <v>152</v>
      </c>
      <c r="C36" s="51" t="s">
        <v>153</v>
      </c>
      <c r="D36" s="51">
        <v>3297</v>
      </c>
    </row>
    <row r="37" spans="1:4" x14ac:dyDescent="0.3">
      <c r="A37" s="39" t="s">
        <v>40</v>
      </c>
      <c r="B37" s="51">
        <v>1051</v>
      </c>
      <c r="C37" s="51" t="s">
        <v>154</v>
      </c>
      <c r="D37" s="51">
        <v>361</v>
      </c>
    </row>
    <row r="38" spans="1:4" x14ac:dyDescent="0.3">
      <c r="A38" s="39" t="s">
        <v>155</v>
      </c>
      <c r="B38" s="51" t="s">
        <v>156</v>
      </c>
      <c r="C38" s="51" t="s">
        <v>157</v>
      </c>
      <c r="D38" s="51">
        <v>204</v>
      </c>
    </row>
    <row r="39" spans="1:4" x14ac:dyDescent="0.3">
      <c r="A39" s="39" t="s">
        <v>41</v>
      </c>
      <c r="B39" s="51">
        <v>-9502</v>
      </c>
      <c r="C39" s="51" t="s">
        <v>158</v>
      </c>
      <c r="D39" s="51">
        <v>-2970</v>
      </c>
    </row>
    <row r="40" spans="1:4" x14ac:dyDescent="0.3">
      <c r="A40" t="s">
        <v>42</v>
      </c>
      <c r="B40" s="52">
        <v>22149</v>
      </c>
      <c r="C40" s="52">
        <v>16648</v>
      </c>
      <c r="D40" s="52">
        <v>6171</v>
      </c>
    </row>
    <row r="41" spans="1:4" x14ac:dyDescent="0.3">
      <c r="A41" s="39" t="s">
        <v>159</v>
      </c>
      <c r="B41" s="51" t="s">
        <v>160</v>
      </c>
      <c r="C41" s="51" t="s">
        <v>161</v>
      </c>
      <c r="D41" s="51">
        <v>6171</v>
      </c>
    </row>
    <row r="42" spans="1:4" x14ac:dyDescent="0.3">
      <c r="A42" s="39" t="s">
        <v>162</v>
      </c>
      <c r="B42" s="51" t="s">
        <v>39</v>
      </c>
      <c r="C42" s="51" t="s">
        <v>39</v>
      </c>
      <c r="D42" s="51" t="s">
        <v>39</v>
      </c>
    </row>
    <row r="43" spans="1:4" x14ac:dyDescent="0.3">
      <c r="A43" s="39" t="s">
        <v>43</v>
      </c>
      <c r="B43" s="51">
        <v>29632</v>
      </c>
      <c r="C43" s="51">
        <v>12984</v>
      </c>
      <c r="D43" s="51">
        <v>6813</v>
      </c>
    </row>
    <row r="44" spans="1:4" x14ac:dyDescent="0.3">
      <c r="A44" s="39" t="s">
        <v>44</v>
      </c>
      <c r="B44" s="51">
        <v>51781</v>
      </c>
      <c r="C44" s="51">
        <v>29632</v>
      </c>
      <c r="D44" s="51">
        <v>12984</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7158-54D8-4766-A519-DC8DA8A46118}">
  <dimension ref="A1:E43"/>
  <sheetViews>
    <sheetView zoomScale="91" workbookViewId="0">
      <selection activeCell="C21" sqref="C21"/>
    </sheetView>
  </sheetViews>
  <sheetFormatPr defaultRowHeight="14.4" x14ac:dyDescent="0.3"/>
  <cols>
    <col min="1" max="1" width="60.21875" bestFit="1" customWidth="1"/>
    <col min="2" max="2" width="19.88671875" customWidth="1"/>
    <col min="3" max="3" width="19.21875" customWidth="1"/>
    <col min="4" max="5" width="19.109375" bestFit="1" customWidth="1"/>
  </cols>
  <sheetData>
    <row r="1" spans="1:5" x14ac:dyDescent="0.3">
      <c r="A1" t="s">
        <v>163</v>
      </c>
      <c r="B1" t="s">
        <v>164</v>
      </c>
      <c r="C1" t="s">
        <v>165</v>
      </c>
      <c r="D1" t="s">
        <v>166</v>
      </c>
      <c r="E1" t="s">
        <v>167</v>
      </c>
    </row>
    <row r="2" spans="1:5" x14ac:dyDescent="0.3">
      <c r="A2" t="s">
        <v>7</v>
      </c>
      <c r="C2" s="1">
        <v>56391</v>
      </c>
      <c r="D2">
        <v>56561</v>
      </c>
      <c r="E2" t="s">
        <v>168</v>
      </c>
    </row>
    <row r="3" spans="1:5" x14ac:dyDescent="0.3">
      <c r="A3" s="39" t="s">
        <v>169</v>
      </c>
      <c r="B3" s="39">
        <v>11</v>
      </c>
      <c r="C3" s="39" t="s">
        <v>170</v>
      </c>
      <c r="D3" s="39">
        <v>14462</v>
      </c>
      <c r="E3" s="39">
        <f>RZiS!C8 * 100 / ((Bilans!D20 + Bilans!C20)/2)</f>
        <v>5.5243404336435216</v>
      </c>
    </row>
    <row r="4" spans="1:5" x14ac:dyDescent="0.3">
      <c r="A4" s="39" t="s">
        <v>171</v>
      </c>
      <c r="B4" s="39">
        <v>12</v>
      </c>
      <c r="C4" s="39" t="s">
        <v>172</v>
      </c>
      <c r="D4" s="39">
        <v>6176</v>
      </c>
      <c r="E4" s="39" t="s">
        <v>173</v>
      </c>
    </row>
    <row r="5" spans="1:5" x14ac:dyDescent="0.3">
      <c r="A5" s="39" t="s">
        <v>174</v>
      </c>
      <c r="B5" s="39">
        <v>28</v>
      </c>
      <c r="C5" s="39" t="s">
        <v>175</v>
      </c>
      <c r="D5" s="39">
        <v>5356</v>
      </c>
      <c r="E5" s="39" t="s">
        <v>176</v>
      </c>
    </row>
    <row r="6" spans="1:5" x14ac:dyDescent="0.3">
      <c r="A6" s="39" t="s">
        <v>177</v>
      </c>
      <c r="B6" s="39">
        <v>14</v>
      </c>
      <c r="C6" s="39" t="s">
        <v>178</v>
      </c>
      <c r="D6" s="39">
        <v>17946</v>
      </c>
      <c r="E6" s="39" t="s">
        <v>179</v>
      </c>
    </row>
    <row r="7" spans="1:5" x14ac:dyDescent="0.3">
      <c r="A7" s="39" t="s">
        <v>180</v>
      </c>
      <c r="B7" s="39">
        <v>16</v>
      </c>
      <c r="C7" s="39" t="s">
        <v>39</v>
      </c>
      <c r="D7" s="39">
        <v>200</v>
      </c>
      <c r="E7" s="39" t="s">
        <v>39</v>
      </c>
    </row>
    <row r="8" spans="1:5" x14ac:dyDescent="0.3">
      <c r="A8" s="39" t="s">
        <v>181</v>
      </c>
      <c r="B8" s="39"/>
      <c r="C8" s="39" t="s">
        <v>182</v>
      </c>
      <c r="D8" s="39">
        <v>80</v>
      </c>
      <c r="E8" s="39" t="s">
        <v>182</v>
      </c>
    </row>
    <row r="9" spans="1:5" x14ac:dyDescent="0.3">
      <c r="A9" s="39" t="s">
        <v>183</v>
      </c>
      <c r="B9" s="39">
        <v>7</v>
      </c>
      <c r="C9" s="130">
        <v>1049</v>
      </c>
      <c r="D9" s="39">
        <v>2282</v>
      </c>
      <c r="E9" s="39" t="s">
        <v>184</v>
      </c>
    </row>
    <row r="10" spans="1:5" x14ac:dyDescent="0.3">
      <c r="A10" s="39" t="s">
        <v>185</v>
      </c>
      <c r="B10" s="39">
        <v>1</v>
      </c>
      <c r="C10" s="39" t="s">
        <v>186</v>
      </c>
      <c r="D10" s="39">
        <v>237</v>
      </c>
      <c r="E10" s="39" t="s">
        <v>187</v>
      </c>
    </row>
    <row r="11" spans="1:5" x14ac:dyDescent="0.3">
      <c r="A11" s="39" t="s">
        <v>188</v>
      </c>
      <c r="B11" s="39">
        <v>20</v>
      </c>
      <c r="C11" s="39" t="s">
        <v>189</v>
      </c>
      <c r="D11" s="39">
        <v>9822</v>
      </c>
      <c r="E11" s="39" t="s">
        <v>190</v>
      </c>
    </row>
    <row r="12" spans="1:5" x14ac:dyDescent="0.3">
      <c r="A12" t="s">
        <v>9</v>
      </c>
      <c r="C12" t="s">
        <v>191</v>
      </c>
      <c r="D12">
        <v>141886</v>
      </c>
      <c r="E12" t="s">
        <v>192</v>
      </c>
    </row>
    <row r="13" spans="1:5" x14ac:dyDescent="0.3">
      <c r="A13" s="39" t="s">
        <v>13</v>
      </c>
      <c r="B13" s="39">
        <v>17</v>
      </c>
      <c r="C13" s="39" t="s">
        <v>193</v>
      </c>
      <c r="D13" s="39">
        <v>4099</v>
      </c>
      <c r="E13" s="80">
        <v>11225</v>
      </c>
    </row>
    <row r="14" spans="1:5" x14ac:dyDescent="0.3">
      <c r="A14" s="39" t="s">
        <v>185</v>
      </c>
      <c r="B14" s="39">
        <v>1</v>
      </c>
      <c r="C14" s="39"/>
      <c r="D14" s="39">
        <v>15593</v>
      </c>
      <c r="E14" s="39" t="s">
        <v>194</v>
      </c>
    </row>
    <row r="15" spans="1:5" x14ac:dyDescent="0.3">
      <c r="A15" s="39" t="s">
        <v>195</v>
      </c>
      <c r="B15" s="39">
        <v>18</v>
      </c>
      <c r="C15" s="39" t="s">
        <v>196</v>
      </c>
      <c r="D15" s="39">
        <v>54008</v>
      </c>
      <c r="E15" s="39" t="s">
        <v>197</v>
      </c>
    </row>
    <row r="16" spans="1:5" x14ac:dyDescent="0.3">
      <c r="A16" s="39" t="s">
        <v>198</v>
      </c>
      <c r="B16" s="39">
        <v>19</v>
      </c>
      <c r="C16" s="39" t="s">
        <v>199</v>
      </c>
      <c r="D16" s="39">
        <v>773</v>
      </c>
      <c r="E16" s="39" t="s">
        <v>200</v>
      </c>
    </row>
    <row r="17" spans="1:5" x14ac:dyDescent="0.3">
      <c r="A17" s="39" t="s">
        <v>201</v>
      </c>
      <c r="B17" s="39">
        <v>16</v>
      </c>
      <c r="C17" s="39" t="s">
        <v>202</v>
      </c>
      <c r="D17" s="39">
        <v>21141</v>
      </c>
      <c r="E17" s="39" t="s">
        <v>203</v>
      </c>
    </row>
    <row r="18" spans="1:5" x14ac:dyDescent="0.3">
      <c r="A18" s="39" t="s">
        <v>204</v>
      </c>
      <c r="B18" s="39">
        <v>20</v>
      </c>
      <c r="C18" s="39" t="s">
        <v>205</v>
      </c>
      <c r="D18" s="39">
        <v>16640</v>
      </c>
      <c r="E18" s="39" t="s">
        <v>206</v>
      </c>
    </row>
    <row r="19" spans="1:5" x14ac:dyDescent="0.3">
      <c r="A19" s="39" t="s">
        <v>207</v>
      </c>
      <c r="B19" s="39">
        <v>21</v>
      </c>
      <c r="C19" s="39" t="s">
        <v>208</v>
      </c>
      <c r="D19" s="39">
        <v>29632</v>
      </c>
      <c r="E19" s="39" t="s">
        <v>209</v>
      </c>
    </row>
    <row r="20" spans="1:5" x14ac:dyDescent="0.3">
      <c r="A20" s="41" t="s">
        <v>210</v>
      </c>
      <c r="C20" t="s">
        <v>211</v>
      </c>
      <c r="D20">
        <v>198447</v>
      </c>
      <c r="E20" t="s">
        <v>212</v>
      </c>
    </row>
    <row r="21" spans="1:5" x14ac:dyDescent="0.3">
      <c r="A21" t="s">
        <v>213</v>
      </c>
      <c r="B21" t="s">
        <v>164</v>
      </c>
      <c r="C21" t="s">
        <v>165</v>
      </c>
      <c r="D21" t="s">
        <v>214</v>
      </c>
      <c r="E21" t="s">
        <v>167</v>
      </c>
    </row>
    <row r="22" spans="1:5" x14ac:dyDescent="0.3">
      <c r="A22" t="s">
        <v>15</v>
      </c>
      <c r="C22" t="s">
        <v>215</v>
      </c>
      <c r="D22">
        <v>83224</v>
      </c>
      <c r="E22" t="s">
        <v>216</v>
      </c>
    </row>
    <row r="23" spans="1:5" x14ac:dyDescent="0.3">
      <c r="A23" s="39" t="s">
        <v>217</v>
      </c>
      <c r="B23" s="39">
        <v>22</v>
      </c>
      <c r="C23" s="39" t="s">
        <v>218</v>
      </c>
      <c r="D23" s="39">
        <v>7269</v>
      </c>
      <c r="E23" s="39" t="s">
        <v>218</v>
      </c>
    </row>
    <row r="24" spans="1:5" x14ac:dyDescent="0.3">
      <c r="A24" s="39" t="s">
        <v>219</v>
      </c>
      <c r="B24" s="39">
        <v>23</v>
      </c>
      <c r="C24" s="39" t="s">
        <v>220</v>
      </c>
      <c r="D24" s="39">
        <v>14753</v>
      </c>
      <c r="E24" s="39" t="s">
        <v>220</v>
      </c>
    </row>
    <row r="25" spans="1:5" x14ac:dyDescent="0.3">
      <c r="A25" s="39" t="s">
        <v>221</v>
      </c>
      <c r="B25" s="39"/>
      <c r="C25" s="39" t="s">
        <v>222</v>
      </c>
      <c r="D25" s="39">
        <v>61202</v>
      </c>
      <c r="E25" s="39" t="s">
        <v>223</v>
      </c>
    </row>
    <row r="26" spans="1:5" x14ac:dyDescent="0.3">
      <c r="A26" t="s">
        <v>224</v>
      </c>
      <c r="C26" t="s">
        <v>225</v>
      </c>
      <c r="D26">
        <v>21514</v>
      </c>
      <c r="E26" t="s">
        <v>226</v>
      </c>
    </row>
    <row r="27" spans="1:5" x14ac:dyDescent="0.3">
      <c r="A27" s="39" t="s">
        <v>145</v>
      </c>
      <c r="B27" s="39">
        <v>24</v>
      </c>
      <c r="C27" s="39" t="s">
        <v>227</v>
      </c>
      <c r="D27" s="39">
        <v>3063</v>
      </c>
      <c r="E27" s="39" t="s">
        <v>228</v>
      </c>
    </row>
    <row r="28" spans="1:5" x14ac:dyDescent="0.3">
      <c r="A28" s="39" t="s">
        <v>229</v>
      </c>
      <c r="B28" s="39">
        <v>28</v>
      </c>
      <c r="C28" s="39" t="s">
        <v>230</v>
      </c>
      <c r="D28" s="39">
        <v>2860</v>
      </c>
      <c r="E28" s="39" t="s">
        <v>118</v>
      </c>
    </row>
    <row r="29" spans="1:5" x14ac:dyDescent="0.3">
      <c r="A29" s="39" t="s">
        <v>231</v>
      </c>
      <c r="B29" s="39">
        <v>1</v>
      </c>
      <c r="C29" s="39" t="s">
        <v>232</v>
      </c>
      <c r="D29" s="39">
        <v>14487</v>
      </c>
      <c r="E29" s="39" t="s">
        <v>233</v>
      </c>
    </row>
    <row r="30" spans="1:5" x14ac:dyDescent="0.3">
      <c r="A30" s="39" t="s">
        <v>234</v>
      </c>
      <c r="B30" s="39"/>
      <c r="C30" s="39" t="s">
        <v>235</v>
      </c>
      <c r="D30" s="39"/>
      <c r="E30" s="39" t="s">
        <v>236</v>
      </c>
    </row>
    <row r="31" spans="1:5" x14ac:dyDescent="0.3">
      <c r="A31" s="39" t="s">
        <v>237</v>
      </c>
      <c r="B31" s="39">
        <v>29</v>
      </c>
      <c r="C31" s="39" t="s">
        <v>238</v>
      </c>
      <c r="D31" s="39">
        <v>291</v>
      </c>
      <c r="E31" s="39" t="s">
        <v>39</v>
      </c>
    </row>
    <row r="32" spans="1:5" x14ac:dyDescent="0.3">
      <c r="A32" s="39" t="s">
        <v>239</v>
      </c>
      <c r="B32" s="39">
        <v>30</v>
      </c>
      <c r="C32" s="39" t="s">
        <v>240</v>
      </c>
      <c r="D32" s="39">
        <v>813</v>
      </c>
      <c r="E32" s="39" t="s">
        <v>241</v>
      </c>
    </row>
    <row r="33" spans="1:5" x14ac:dyDescent="0.3">
      <c r="A33" s="40" t="s">
        <v>242</v>
      </c>
      <c r="B33" s="40"/>
      <c r="C33" s="40" t="s">
        <v>243</v>
      </c>
      <c r="D33" s="40">
        <v>93709</v>
      </c>
      <c r="E33" s="40" t="s">
        <v>244</v>
      </c>
    </row>
    <row r="34" spans="1:5" x14ac:dyDescent="0.3">
      <c r="A34" s="39" t="s">
        <v>145</v>
      </c>
      <c r="B34" s="39">
        <v>24</v>
      </c>
      <c r="C34" s="39" t="s">
        <v>245</v>
      </c>
      <c r="D34" s="39">
        <v>5443</v>
      </c>
      <c r="E34" s="39" t="s">
        <v>246</v>
      </c>
    </row>
    <row r="35" spans="1:5" x14ac:dyDescent="0.3">
      <c r="A35" s="39" t="s">
        <v>247</v>
      </c>
      <c r="B35" s="39"/>
      <c r="C35" s="39" t="s">
        <v>39</v>
      </c>
      <c r="D35" s="39">
        <v>205</v>
      </c>
      <c r="E35" s="39" t="s">
        <v>248</v>
      </c>
    </row>
    <row r="36" spans="1:5" x14ac:dyDescent="0.3">
      <c r="A36" s="39" t="s">
        <v>229</v>
      </c>
      <c r="B36" s="39">
        <v>28</v>
      </c>
      <c r="C36" s="39" t="s">
        <v>249</v>
      </c>
      <c r="D36" s="39">
        <v>2249</v>
      </c>
      <c r="E36" s="39" t="s">
        <v>250</v>
      </c>
    </row>
    <row r="37" spans="1:5" x14ac:dyDescent="0.3">
      <c r="A37" s="39" t="s">
        <v>231</v>
      </c>
      <c r="B37" s="39">
        <v>1</v>
      </c>
      <c r="C37" s="39" t="s">
        <v>251</v>
      </c>
      <c r="D37" s="39">
        <v>23086</v>
      </c>
      <c r="E37" s="39" t="s">
        <v>252</v>
      </c>
    </row>
    <row r="38" spans="1:5" x14ac:dyDescent="0.3">
      <c r="A38" s="39" t="s">
        <v>18</v>
      </c>
      <c r="B38" s="39">
        <v>26</v>
      </c>
      <c r="C38" s="39" t="s">
        <v>253</v>
      </c>
      <c r="D38" s="39">
        <v>41993</v>
      </c>
      <c r="E38" s="39" t="s">
        <v>254</v>
      </c>
    </row>
    <row r="39" spans="1:5" x14ac:dyDescent="0.3">
      <c r="A39" s="39" t="s">
        <v>255</v>
      </c>
      <c r="B39" s="39"/>
      <c r="C39" s="39" t="s">
        <v>256</v>
      </c>
      <c r="D39" s="39">
        <v>1633</v>
      </c>
      <c r="E39" s="39" t="s">
        <v>39</v>
      </c>
    </row>
    <row r="40" spans="1:5" x14ac:dyDescent="0.3">
      <c r="A40" s="39" t="s">
        <v>257</v>
      </c>
      <c r="B40" s="39">
        <v>26</v>
      </c>
      <c r="C40" s="39" t="s">
        <v>258</v>
      </c>
      <c r="D40" s="39">
        <v>18901</v>
      </c>
      <c r="E40" s="39" t="s">
        <v>259</v>
      </c>
    </row>
    <row r="41" spans="1:5" x14ac:dyDescent="0.3">
      <c r="A41" s="39" t="s">
        <v>237</v>
      </c>
      <c r="B41" s="39">
        <v>29</v>
      </c>
      <c r="C41" s="39" t="s">
        <v>260</v>
      </c>
      <c r="D41" s="39">
        <v>73</v>
      </c>
      <c r="E41" s="39" t="s">
        <v>39</v>
      </c>
    </row>
    <row r="42" spans="1:5" x14ac:dyDescent="0.3">
      <c r="A42" s="39" t="s">
        <v>239</v>
      </c>
      <c r="B42" s="39">
        <v>30</v>
      </c>
      <c r="C42" s="39" t="s">
        <v>261</v>
      </c>
      <c r="D42" s="39">
        <v>126</v>
      </c>
      <c r="E42" s="39" t="s">
        <v>262</v>
      </c>
    </row>
    <row r="43" spans="1:5" x14ac:dyDescent="0.3">
      <c r="A43" s="42" t="s">
        <v>263</v>
      </c>
      <c r="B43" s="40"/>
      <c r="C43" s="40" t="s">
        <v>211</v>
      </c>
      <c r="D43" s="40">
        <v>198447</v>
      </c>
      <c r="E43" s="40" t="s">
        <v>212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BE69-159E-4133-BDA8-034057385577}">
  <dimension ref="A1:E22"/>
  <sheetViews>
    <sheetView workbookViewId="0">
      <selection activeCell="H22" sqref="H22"/>
    </sheetView>
  </sheetViews>
  <sheetFormatPr defaultRowHeight="14.4" x14ac:dyDescent="0.3"/>
  <cols>
    <col min="1" max="1" width="72.5546875" bestFit="1" customWidth="1"/>
    <col min="2" max="2" width="12.21875" customWidth="1"/>
    <col min="3" max="4" width="8.77734375" bestFit="1" customWidth="1"/>
  </cols>
  <sheetData>
    <row r="1" spans="1:5" x14ac:dyDescent="0.3">
      <c r="A1" t="s">
        <v>47</v>
      </c>
      <c r="B1" t="s">
        <v>164</v>
      </c>
      <c r="C1" t="s">
        <v>50</v>
      </c>
      <c r="D1" t="s">
        <v>51</v>
      </c>
      <c r="E1" t="s">
        <v>52</v>
      </c>
    </row>
    <row r="2" spans="1:5" x14ac:dyDescent="0.3">
      <c r="A2" t="s">
        <v>264</v>
      </c>
      <c r="B2">
        <v>2</v>
      </c>
      <c r="C2" s="112">
        <v>307209</v>
      </c>
      <c r="D2" s="112">
        <v>291027</v>
      </c>
      <c r="E2" s="112">
        <v>198413</v>
      </c>
    </row>
    <row r="3" spans="1:5" x14ac:dyDescent="0.3">
      <c r="A3" t="s">
        <v>22</v>
      </c>
      <c r="B3">
        <v>3</v>
      </c>
      <c r="C3" s="112">
        <v>255102</v>
      </c>
      <c r="D3" s="112">
        <v>234233</v>
      </c>
      <c r="E3" s="112">
        <v>160148</v>
      </c>
    </row>
    <row r="4" spans="1:5" x14ac:dyDescent="0.3">
      <c r="A4" t="s">
        <v>23</v>
      </c>
      <c r="C4" s="112">
        <v>52107</v>
      </c>
      <c r="D4" s="112">
        <v>56794</v>
      </c>
      <c r="E4" s="112">
        <v>38265</v>
      </c>
    </row>
    <row r="5" spans="1:5" x14ac:dyDescent="0.3">
      <c r="A5" t="s">
        <v>265</v>
      </c>
      <c r="B5">
        <v>5</v>
      </c>
      <c r="C5" s="113" t="s">
        <v>266</v>
      </c>
      <c r="D5" s="113" t="s">
        <v>267</v>
      </c>
      <c r="E5" s="113" t="s">
        <v>268</v>
      </c>
    </row>
    <row r="6" spans="1:5" x14ac:dyDescent="0.3">
      <c r="A6" t="s">
        <v>269</v>
      </c>
      <c r="B6">
        <v>3</v>
      </c>
      <c r="C6" s="112">
        <v>40619</v>
      </c>
      <c r="D6" s="113" t="s">
        <v>270</v>
      </c>
      <c r="E6" s="113" t="s">
        <v>271</v>
      </c>
    </row>
    <row r="7" spans="1:5" x14ac:dyDescent="0.3">
      <c r="A7" t="s">
        <v>272</v>
      </c>
      <c r="B7">
        <v>5</v>
      </c>
      <c r="C7" s="113" t="s">
        <v>273</v>
      </c>
      <c r="D7" s="113" t="s">
        <v>274</v>
      </c>
      <c r="E7" s="113" t="s">
        <v>275</v>
      </c>
    </row>
    <row r="8" spans="1:5" x14ac:dyDescent="0.3">
      <c r="A8" t="s">
        <v>276</v>
      </c>
      <c r="C8" s="112">
        <v>11882</v>
      </c>
      <c r="D8" s="112">
        <v>17319</v>
      </c>
      <c r="E8" s="112">
        <v>1340</v>
      </c>
    </row>
    <row r="9" spans="1:5" x14ac:dyDescent="0.3">
      <c r="A9" t="s">
        <v>277</v>
      </c>
      <c r="B9">
        <v>6</v>
      </c>
      <c r="C9" s="113" t="s">
        <v>278</v>
      </c>
      <c r="D9" s="113" t="s">
        <v>279</v>
      </c>
      <c r="E9" s="113" t="s">
        <v>280</v>
      </c>
    </row>
    <row r="10" spans="1:5" x14ac:dyDescent="0.3">
      <c r="A10" t="s">
        <v>281</v>
      </c>
      <c r="B10">
        <v>6</v>
      </c>
      <c r="C10" s="113" t="s">
        <v>282</v>
      </c>
      <c r="D10" s="113" t="s">
        <v>283</v>
      </c>
      <c r="E10" s="113" t="s">
        <v>284</v>
      </c>
    </row>
    <row r="11" spans="1:5" x14ac:dyDescent="0.3">
      <c r="A11" t="s">
        <v>54</v>
      </c>
      <c r="C11" s="112">
        <v>13008</v>
      </c>
      <c r="D11" s="112"/>
      <c r="E11" s="112">
        <v>1096</v>
      </c>
    </row>
    <row r="12" spans="1:5" x14ac:dyDescent="0.3">
      <c r="A12" t="s">
        <v>285</v>
      </c>
      <c r="B12">
        <v>7</v>
      </c>
      <c r="C12" s="113" t="s">
        <v>286</v>
      </c>
      <c r="D12" s="113" t="s">
        <v>287</v>
      </c>
      <c r="E12" s="113" t="s">
        <v>288</v>
      </c>
    </row>
    <row r="13" spans="1:5" x14ac:dyDescent="0.3">
      <c r="A13" t="s">
        <v>289</v>
      </c>
      <c r="C13" s="112">
        <v>10319</v>
      </c>
      <c r="D13" s="112">
        <v>13269</v>
      </c>
      <c r="E13" s="113">
        <v>715</v>
      </c>
    </row>
    <row r="14" spans="1:5" x14ac:dyDescent="0.3">
      <c r="A14" t="s">
        <v>49</v>
      </c>
      <c r="C14" s="113"/>
      <c r="D14" s="113" t="s">
        <v>49</v>
      </c>
      <c r="E14" s="113" t="s">
        <v>49</v>
      </c>
    </row>
    <row r="15" spans="1:5" x14ac:dyDescent="0.3">
      <c r="A15" t="s">
        <v>290</v>
      </c>
      <c r="C15" s="113"/>
      <c r="D15" s="113" t="s">
        <v>49</v>
      </c>
      <c r="E15" s="113" t="s">
        <v>49</v>
      </c>
    </row>
    <row r="16" spans="1:5" x14ac:dyDescent="0.3">
      <c r="A16" t="s">
        <v>291</v>
      </c>
      <c r="C16" s="113" t="s">
        <v>39</v>
      </c>
      <c r="D16" s="113" t="s">
        <v>39</v>
      </c>
      <c r="E16" s="113" t="s">
        <v>39</v>
      </c>
    </row>
    <row r="17" spans="1:5" x14ac:dyDescent="0.3">
      <c r="A17" t="s">
        <v>292</v>
      </c>
      <c r="C17" s="113" t="s">
        <v>39</v>
      </c>
      <c r="D17" s="113" t="s">
        <v>39</v>
      </c>
      <c r="E17" s="113" t="s">
        <v>39</v>
      </c>
    </row>
    <row r="18" spans="1:5" x14ac:dyDescent="0.3">
      <c r="A18" t="s">
        <v>293</v>
      </c>
      <c r="C18" s="113" t="s">
        <v>294</v>
      </c>
      <c r="D18" s="113" t="s">
        <v>295</v>
      </c>
      <c r="E18" s="113" t="s">
        <v>296</v>
      </c>
    </row>
    <row r="19" spans="1:5" x14ac:dyDescent="0.3">
      <c r="A19" t="s">
        <v>49</v>
      </c>
      <c r="C19" s="113"/>
      <c r="D19" s="113" t="s">
        <v>49</v>
      </c>
      <c r="E19" s="113" t="s">
        <v>49</v>
      </c>
    </row>
    <row r="20" spans="1:5" x14ac:dyDescent="0.3">
      <c r="A20" t="s">
        <v>297</v>
      </c>
      <c r="C20" s="113"/>
      <c r="D20" s="113" t="s">
        <v>49</v>
      </c>
      <c r="E20" s="113" t="s">
        <v>49</v>
      </c>
    </row>
    <row r="21" spans="1:5" x14ac:dyDescent="0.3">
      <c r="A21" t="s">
        <v>298</v>
      </c>
      <c r="B21">
        <v>8</v>
      </c>
      <c r="C21" s="113" t="s">
        <v>299</v>
      </c>
      <c r="D21" s="113" t="s">
        <v>300</v>
      </c>
      <c r="E21" s="113" t="s">
        <v>301</v>
      </c>
    </row>
    <row r="22" spans="1:5" x14ac:dyDescent="0.3">
      <c r="A22" t="s">
        <v>302</v>
      </c>
      <c r="C22" s="113" t="s">
        <v>299</v>
      </c>
      <c r="D22" s="113" t="s">
        <v>300</v>
      </c>
      <c r="E22" s="113" t="s">
        <v>301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0574-D2C7-4DCB-AC03-A1B2BC62F3BA}">
  <dimension ref="A1:S81"/>
  <sheetViews>
    <sheetView topLeftCell="J43" zoomScale="158" workbookViewId="0">
      <selection activeCell="A45" sqref="A45:E45"/>
    </sheetView>
  </sheetViews>
  <sheetFormatPr defaultRowHeight="14.4" x14ac:dyDescent="0.3"/>
  <cols>
    <col min="1" max="1" width="35.6640625" customWidth="1"/>
    <col min="2" max="2" width="17" bestFit="1" customWidth="1"/>
    <col min="3" max="4" width="17.88671875" bestFit="1" customWidth="1"/>
    <col min="5" max="5" width="20.33203125" customWidth="1"/>
    <col min="6" max="6" width="20.21875" customWidth="1"/>
    <col min="7" max="7" width="14" customWidth="1"/>
    <col min="8" max="8" width="13.44140625" customWidth="1"/>
    <col min="9" max="9" width="18.33203125" customWidth="1"/>
    <col min="10" max="10" width="18.5546875" customWidth="1"/>
  </cols>
  <sheetData>
    <row r="1" spans="1:19" ht="15.6" x14ac:dyDescent="0.3">
      <c r="A1" s="164" t="s">
        <v>303</v>
      </c>
      <c r="B1" s="164"/>
      <c r="C1" s="164"/>
      <c r="D1" s="164"/>
      <c r="E1" s="164"/>
      <c r="F1" s="164"/>
      <c r="G1" s="164"/>
      <c r="H1" s="164"/>
      <c r="I1" s="164"/>
      <c r="J1" s="164"/>
    </row>
    <row r="2" spans="1:19" ht="15.75" customHeight="1" x14ac:dyDescent="0.3">
      <c r="A2" s="154" t="s">
        <v>2</v>
      </c>
      <c r="B2" s="155"/>
      <c r="C2" s="155"/>
      <c r="D2" s="169"/>
      <c r="E2" s="170" t="s">
        <v>304</v>
      </c>
      <c r="F2" s="165" t="s">
        <v>305</v>
      </c>
      <c r="G2" s="165" t="s">
        <v>306</v>
      </c>
      <c r="H2" s="172" t="s">
        <v>307</v>
      </c>
      <c r="I2" s="165" t="s">
        <v>308</v>
      </c>
      <c r="J2" s="165" t="s">
        <v>309</v>
      </c>
      <c r="L2" s="159" t="s">
        <v>310</v>
      </c>
      <c r="M2" s="159"/>
      <c r="N2" s="159"/>
      <c r="O2" s="159"/>
      <c r="P2" s="159"/>
      <c r="Q2" s="159"/>
      <c r="R2" s="159"/>
      <c r="S2" s="159"/>
    </row>
    <row r="3" spans="1:19" ht="14.4" customHeight="1" x14ac:dyDescent="0.3">
      <c r="B3" t="s">
        <v>3</v>
      </c>
      <c r="C3" t="s">
        <v>4</v>
      </c>
      <c r="D3" t="s">
        <v>5</v>
      </c>
      <c r="E3" s="171"/>
      <c r="F3" s="166"/>
      <c r="G3" s="166"/>
      <c r="H3" s="154"/>
      <c r="I3" s="166"/>
      <c r="J3" s="166"/>
      <c r="L3" s="159"/>
      <c r="M3" s="159"/>
      <c r="N3" s="159"/>
      <c r="O3" s="159"/>
      <c r="P3" s="159"/>
      <c r="Q3" s="159"/>
      <c r="R3" s="159"/>
      <c r="S3" s="159"/>
    </row>
    <row r="4" spans="1:19" ht="14.4" customHeight="1" x14ac:dyDescent="0.3">
      <c r="A4" s="92" t="s">
        <v>7</v>
      </c>
      <c r="B4" s="78">
        <v>56391</v>
      </c>
      <c r="C4" s="78">
        <v>56561</v>
      </c>
      <c r="D4" s="93">
        <v>50372</v>
      </c>
      <c r="E4" s="58">
        <f t="shared" ref="E4:F10" si="0">B4-C4</f>
        <v>-170</v>
      </c>
      <c r="F4" s="59">
        <f t="shared" si="0"/>
        <v>6189</v>
      </c>
      <c r="G4" s="60">
        <f t="shared" ref="G4:H10" si="1">E4/C4</f>
        <v>-3.005604568518944E-3</v>
      </c>
      <c r="H4" s="61">
        <f t="shared" si="1"/>
        <v>0.12286587786865719</v>
      </c>
      <c r="I4" s="57">
        <f t="shared" ref="I4:J10" si="2">B4/C4</f>
        <v>0.99699439543148105</v>
      </c>
      <c r="J4" s="57">
        <f t="shared" si="2"/>
        <v>1.1228658778686571</v>
      </c>
      <c r="L4" s="159"/>
      <c r="M4" s="159"/>
      <c r="N4" s="159"/>
      <c r="O4" s="159"/>
      <c r="P4" s="159"/>
      <c r="Q4" s="159"/>
      <c r="R4" s="159"/>
      <c r="S4" s="159"/>
    </row>
    <row r="5" spans="1:19" ht="14.4" customHeight="1" x14ac:dyDescent="0.3">
      <c r="A5" s="94" t="s">
        <v>9</v>
      </c>
      <c r="B5" s="78">
        <v>175331</v>
      </c>
      <c r="C5" s="78">
        <v>141886</v>
      </c>
      <c r="D5" s="93">
        <v>93659</v>
      </c>
      <c r="E5" s="58">
        <f t="shared" si="0"/>
        <v>33445</v>
      </c>
      <c r="F5" s="54">
        <f t="shared" si="0"/>
        <v>48227</v>
      </c>
      <c r="G5" s="57">
        <f t="shared" si="1"/>
        <v>0.23571740693232596</v>
      </c>
      <c r="H5" s="62">
        <f t="shared" si="1"/>
        <v>0.51492115012972595</v>
      </c>
      <c r="I5" s="57">
        <f t="shared" si="2"/>
        <v>1.235717406932326</v>
      </c>
      <c r="J5" s="57">
        <f t="shared" si="2"/>
        <v>1.5149211501297259</v>
      </c>
      <c r="L5" s="159"/>
      <c r="M5" s="159"/>
      <c r="N5" s="159"/>
      <c r="O5" s="159"/>
      <c r="P5" s="159"/>
      <c r="Q5" s="159"/>
      <c r="R5" s="159"/>
      <c r="S5" s="159"/>
    </row>
    <row r="6" spans="1:19" ht="14.4" customHeight="1" x14ac:dyDescent="0.3">
      <c r="A6" s="95" t="s">
        <v>14</v>
      </c>
      <c r="B6" s="78">
        <v>231722</v>
      </c>
      <c r="C6" s="78">
        <v>198447</v>
      </c>
      <c r="D6" s="93">
        <v>144031</v>
      </c>
      <c r="E6" s="58">
        <f t="shared" si="0"/>
        <v>33275</v>
      </c>
      <c r="F6" s="54">
        <f t="shared" si="0"/>
        <v>54416</v>
      </c>
      <c r="G6" s="57">
        <f t="shared" si="1"/>
        <v>0.16767701199816576</v>
      </c>
      <c r="H6" s="62">
        <f t="shared" si="1"/>
        <v>0.3778075553179524</v>
      </c>
      <c r="I6" s="57">
        <f t="shared" si="2"/>
        <v>1.1676770119981656</v>
      </c>
      <c r="J6" s="57">
        <f t="shared" si="2"/>
        <v>1.3778075553179523</v>
      </c>
      <c r="L6" s="159"/>
      <c r="M6" s="159"/>
      <c r="N6" s="159"/>
      <c r="O6" s="159"/>
      <c r="P6" s="159"/>
      <c r="Q6" s="159"/>
      <c r="R6" s="159"/>
      <c r="S6" s="159"/>
    </row>
    <row r="7" spans="1:19" ht="14.4" customHeight="1" x14ac:dyDescent="0.3">
      <c r="A7" s="92" t="s">
        <v>15</v>
      </c>
      <c r="B7" s="78">
        <v>86052</v>
      </c>
      <c r="C7" s="78">
        <v>83224</v>
      </c>
      <c r="D7" s="93">
        <v>70018</v>
      </c>
      <c r="E7" s="58">
        <f t="shared" si="0"/>
        <v>2828</v>
      </c>
      <c r="F7" s="54">
        <f t="shared" si="0"/>
        <v>13206</v>
      </c>
      <c r="G7" s="57">
        <f t="shared" si="1"/>
        <v>3.3980582524271843E-2</v>
      </c>
      <c r="H7" s="62">
        <f t="shared" si="1"/>
        <v>0.18860864349167358</v>
      </c>
      <c r="I7" s="57">
        <f t="shared" si="2"/>
        <v>1.0339805825242718</v>
      </c>
      <c r="J7" s="57">
        <f t="shared" si="2"/>
        <v>1.1886086434916736</v>
      </c>
      <c r="L7" s="159"/>
      <c r="M7" s="159"/>
      <c r="N7" s="159"/>
      <c r="O7" s="159"/>
      <c r="P7" s="159"/>
      <c r="Q7" s="159"/>
      <c r="R7" s="159"/>
      <c r="S7" s="159"/>
    </row>
    <row r="8" spans="1:19" ht="14.4" customHeight="1" x14ac:dyDescent="0.3">
      <c r="A8" s="92" t="s">
        <v>16</v>
      </c>
      <c r="B8" s="78">
        <v>22533</v>
      </c>
      <c r="C8" s="78">
        <v>21514</v>
      </c>
      <c r="D8" s="93">
        <v>8255</v>
      </c>
      <c r="E8" s="58">
        <f t="shared" si="0"/>
        <v>1019</v>
      </c>
      <c r="F8" s="54">
        <f t="shared" si="0"/>
        <v>13259</v>
      </c>
      <c r="G8" s="57">
        <f t="shared" si="1"/>
        <v>4.7364506832760063E-2</v>
      </c>
      <c r="H8" s="62">
        <f t="shared" si="1"/>
        <v>1.6061780738946094</v>
      </c>
      <c r="I8" s="57">
        <f t="shared" si="2"/>
        <v>1.0473645068327602</v>
      </c>
      <c r="J8" s="57">
        <f t="shared" si="2"/>
        <v>2.6061780738946094</v>
      </c>
      <c r="L8" s="159"/>
      <c r="M8" s="159"/>
      <c r="N8" s="159"/>
      <c r="O8" s="159"/>
      <c r="P8" s="159"/>
      <c r="Q8" s="159"/>
      <c r="R8" s="159"/>
      <c r="S8" s="159"/>
    </row>
    <row r="9" spans="1:19" ht="14.4" customHeight="1" x14ac:dyDescent="0.3">
      <c r="A9" s="92" t="s">
        <v>17</v>
      </c>
      <c r="B9" s="78">
        <v>123137</v>
      </c>
      <c r="C9" s="78">
        <v>93709</v>
      </c>
      <c r="D9" s="93">
        <v>65758</v>
      </c>
      <c r="E9" s="58">
        <f t="shared" si="0"/>
        <v>29428</v>
      </c>
      <c r="F9" s="54">
        <f t="shared" si="0"/>
        <v>27951</v>
      </c>
      <c r="G9" s="57">
        <f t="shared" si="1"/>
        <v>0.31403600507955481</v>
      </c>
      <c r="H9" s="62">
        <f t="shared" si="1"/>
        <v>0.42505854800936765</v>
      </c>
      <c r="I9" s="57">
        <f t="shared" si="2"/>
        <v>1.3140360050795548</v>
      </c>
      <c r="J9" s="57">
        <f t="shared" si="2"/>
        <v>1.4250585480093676</v>
      </c>
      <c r="L9" s="159"/>
      <c r="M9" s="159"/>
      <c r="N9" s="159"/>
      <c r="O9" s="159"/>
      <c r="P9" s="159"/>
      <c r="Q9" s="159"/>
      <c r="R9" s="159"/>
      <c r="S9" s="159"/>
    </row>
    <row r="10" spans="1:19" ht="14.4" customHeight="1" x14ac:dyDescent="0.3">
      <c r="A10" s="68" t="s">
        <v>19</v>
      </c>
      <c r="B10" s="69">
        <v>231722</v>
      </c>
      <c r="C10" s="69">
        <v>198447</v>
      </c>
      <c r="D10" s="11">
        <v>144031</v>
      </c>
      <c r="E10" s="64">
        <f t="shared" si="0"/>
        <v>33275</v>
      </c>
      <c r="F10" s="65">
        <f t="shared" si="0"/>
        <v>54416</v>
      </c>
      <c r="G10" s="66">
        <f t="shared" si="1"/>
        <v>0.16767701199816576</v>
      </c>
      <c r="H10" s="67">
        <f t="shared" si="1"/>
        <v>0.3778075553179524</v>
      </c>
      <c r="I10" s="66">
        <f t="shared" si="2"/>
        <v>1.1676770119981656</v>
      </c>
      <c r="J10" s="66">
        <f t="shared" si="2"/>
        <v>1.3778075553179523</v>
      </c>
      <c r="L10" s="159"/>
      <c r="M10" s="159"/>
      <c r="N10" s="159"/>
      <c r="O10" s="159"/>
      <c r="P10" s="159"/>
      <c r="Q10" s="159"/>
      <c r="R10" s="159"/>
      <c r="S10" s="159"/>
    </row>
    <row r="11" spans="1:19" ht="14.4" customHeight="1" x14ac:dyDescent="0.3">
      <c r="A11" s="155" t="s">
        <v>20</v>
      </c>
      <c r="B11" s="155"/>
      <c r="C11" s="155"/>
      <c r="D11" s="155"/>
      <c r="E11" s="167"/>
      <c r="F11" s="167"/>
      <c r="G11" s="167"/>
      <c r="H11" s="167"/>
      <c r="I11" s="167"/>
      <c r="J11" s="168"/>
      <c r="L11" s="159"/>
      <c r="M11" s="159"/>
      <c r="N11" s="159"/>
      <c r="O11" s="159"/>
      <c r="P11" s="159"/>
      <c r="Q11" s="159"/>
      <c r="R11" s="159"/>
      <c r="S11" s="159"/>
    </row>
    <row r="12" spans="1:19" ht="14.4" customHeight="1" x14ac:dyDescent="0.3">
      <c r="A12" s="63" t="s">
        <v>21</v>
      </c>
      <c r="B12" s="10">
        <v>307209</v>
      </c>
      <c r="C12" s="10">
        <v>291027</v>
      </c>
      <c r="D12" s="56">
        <v>198413</v>
      </c>
      <c r="E12" s="58">
        <f t="shared" ref="E12:F17" si="3">B12-C12</f>
        <v>16182</v>
      </c>
      <c r="F12" s="54">
        <f t="shared" si="3"/>
        <v>92614</v>
      </c>
      <c r="G12" s="57">
        <f t="shared" ref="G12:H17" si="4">E12/C12</f>
        <v>5.5603088373243723E-2</v>
      </c>
      <c r="H12" s="57">
        <f t="shared" si="4"/>
        <v>0.46677385050374726</v>
      </c>
      <c r="I12" s="57">
        <f t="shared" ref="I12:J17" si="5">B12/C12</f>
        <v>1.0556030883732437</v>
      </c>
      <c r="J12" s="57">
        <f t="shared" si="5"/>
        <v>1.4667738505037473</v>
      </c>
      <c r="L12" s="159"/>
      <c r="M12" s="159"/>
      <c r="N12" s="159"/>
      <c r="O12" s="159"/>
      <c r="P12" s="159"/>
      <c r="Q12" s="159"/>
      <c r="R12" s="159"/>
      <c r="S12" s="159"/>
    </row>
    <row r="13" spans="1:19" ht="14.4" customHeight="1" x14ac:dyDescent="0.3">
      <c r="A13" s="4" t="s">
        <v>22</v>
      </c>
      <c r="B13" s="10">
        <v>255102</v>
      </c>
      <c r="C13" s="10">
        <v>234233</v>
      </c>
      <c r="D13" s="56">
        <v>160148</v>
      </c>
      <c r="E13" s="58">
        <f t="shared" si="3"/>
        <v>20869</v>
      </c>
      <c r="F13" s="54">
        <f t="shared" si="3"/>
        <v>74085</v>
      </c>
      <c r="G13" s="57">
        <f t="shared" si="4"/>
        <v>8.9095046385436721E-2</v>
      </c>
      <c r="H13" s="57">
        <f t="shared" si="4"/>
        <v>0.46260334190873442</v>
      </c>
      <c r="I13" s="57">
        <f t="shared" si="5"/>
        <v>1.0890950463854367</v>
      </c>
      <c r="J13" s="57">
        <f t="shared" si="5"/>
        <v>1.4626033419087343</v>
      </c>
      <c r="L13" s="159"/>
      <c r="M13" s="159"/>
      <c r="N13" s="159"/>
      <c r="O13" s="159"/>
      <c r="P13" s="159"/>
      <c r="Q13" s="159"/>
      <c r="R13" s="159"/>
      <c r="S13" s="159"/>
    </row>
    <row r="14" spans="1:19" ht="14.4" customHeight="1" x14ac:dyDescent="0.3">
      <c r="A14" s="4" t="s">
        <v>23</v>
      </c>
      <c r="B14" s="10">
        <v>52107</v>
      </c>
      <c r="C14" s="10">
        <v>56794</v>
      </c>
      <c r="D14" s="56">
        <v>38265</v>
      </c>
      <c r="E14" s="58">
        <f t="shared" si="3"/>
        <v>-4687</v>
      </c>
      <c r="F14" s="54">
        <f t="shared" si="3"/>
        <v>18529</v>
      </c>
      <c r="G14" s="57">
        <f t="shared" si="4"/>
        <v>-8.2526323203155269E-2</v>
      </c>
      <c r="H14" s="57">
        <f t="shared" si="4"/>
        <v>0.48422840716059062</v>
      </c>
      <c r="I14" s="57">
        <f t="shared" si="5"/>
        <v>0.91747367679684477</v>
      </c>
      <c r="J14" s="57">
        <f t="shared" si="5"/>
        <v>1.4842284071605907</v>
      </c>
      <c r="L14" s="159"/>
      <c r="M14" s="159"/>
      <c r="N14" s="159"/>
      <c r="O14" s="159"/>
      <c r="P14" s="159"/>
      <c r="Q14" s="159"/>
      <c r="R14" s="159"/>
      <c r="S14" s="159"/>
    </row>
    <row r="15" spans="1:19" ht="14.4" customHeight="1" x14ac:dyDescent="0.3">
      <c r="A15" s="4" t="s">
        <v>24</v>
      </c>
      <c r="B15" s="10">
        <v>11882</v>
      </c>
      <c r="C15" s="10">
        <v>17319</v>
      </c>
      <c r="D15" s="10">
        <v>1340</v>
      </c>
      <c r="E15" s="58">
        <f t="shared" si="3"/>
        <v>-5437</v>
      </c>
      <c r="F15" s="54">
        <f t="shared" si="3"/>
        <v>15979</v>
      </c>
      <c r="G15" s="57">
        <f t="shared" si="4"/>
        <v>-0.31393267509671458</v>
      </c>
      <c r="H15" s="57">
        <f t="shared" si="4"/>
        <v>11.924626865671641</v>
      </c>
      <c r="I15" s="57">
        <f t="shared" si="5"/>
        <v>0.68606732490328537</v>
      </c>
      <c r="J15" s="57">
        <f t="shared" si="5"/>
        <v>12.924626865671641</v>
      </c>
      <c r="L15" s="159"/>
      <c r="M15" s="159"/>
      <c r="N15" s="159"/>
      <c r="O15" s="159"/>
      <c r="P15" s="159"/>
      <c r="Q15" s="159"/>
      <c r="R15" s="159"/>
      <c r="S15" s="159"/>
    </row>
    <row r="16" spans="1:19" ht="14.4" customHeight="1" x14ac:dyDescent="0.3">
      <c r="A16" s="4" t="s">
        <v>25</v>
      </c>
      <c r="B16" s="10">
        <v>13008</v>
      </c>
      <c r="C16" s="10">
        <v>16550</v>
      </c>
      <c r="D16" s="10">
        <v>1096</v>
      </c>
      <c r="E16" s="58">
        <f t="shared" si="3"/>
        <v>-3542</v>
      </c>
      <c r="F16" s="54">
        <f t="shared" si="3"/>
        <v>15454</v>
      </c>
      <c r="G16" s="57">
        <f t="shared" si="4"/>
        <v>-0.21401812688821753</v>
      </c>
      <c r="H16" s="57">
        <f t="shared" si="4"/>
        <v>14.100364963503649</v>
      </c>
      <c r="I16" s="57">
        <f t="shared" si="5"/>
        <v>0.78598187311178247</v>
      </c>
      <c r="J16" s="57">
        <f t="shared" si="5"/>
        <v>15.100364963503649</v>
      </c>
      <c r="L16" s="159"/>
      <c r="M16" s="159"/>
      <c r="N16" s="159"/>
      <c r="O16" s="159"/>
      <c r="P16" s="159"/>
      <c r="Q16" s="159"/>
      <c r="R16" s="159"/>
      <c r="S16" s="159"/>
    </row>
    <row r="17" spans="1:19" ht="14.4" customHeight="1" x14ac:dyDescent="0.3">
      <c r="A17" s="81" t="s">
        <v>26</v>
      </c>
      <c r="B17" s="69">
        <v>10319</v>
      </c>
      <c r="C17" s="69">
        <v>13269</v>
      </c>
      <c r="D17" s="69">
        <v>715</v>
      </c>
      <c r="E17" s="64">
        <f t="shared" si="3"/>
        <v>-2950</v>
      </c>
      <c r="F17" s="65">
        <f>C17-D17</f>
        <v>12554</v>
      </c>
      <c r="G17" s="66">
        <f t="shared" si="4"/>
        <v>-0.22232270706157209</v>
      </c>
      <c r="H17" s="66">
        <f>F17/D17</f>
        <v>17.558041958041958</v>
      </c>
      <c r="I17" s="66">
        <f t="shared" si="5"/>
        <v>0.77767729293842791</v>
      </c>
      <c r="J17" s="66">
        <f t="shared" si="5"/>
        <v>18.558041958041958</v>
      </c>
      <c r="L17" s="134"/>
      <c r="M17" s="134"/>
      <c r="N17" s="134"/>
      <c r="O17" s="134"/>
      <c r="P17" s="134"/>
      <c r="Q17" s="134"/>
      <c r="R17" s="134"/>
      <c r="S17" s="134"/>
    </row>
    <row r="18" spans="1:19" ht="14.4" customHeight="1" x14ac:dyDescent="0.3">
      <c r="A18" s="161" t="s">
        <v>27</v>
      </c>
      <c r="B18" s="161"/>
      <c r="C18" s="161"/>
      <c r="D18" s="162"/>
      <c r="E18" s="167"/>
      <c r="F18" s="167"/>
      <c r="G18" s="167"/>
      <c r="H18" s="167"/>
      <c r="I18" s="167"/>
      <c r="J18" s="168"/>
      <c r="L18" s="134"/>
      <c r="M18" s="134"/>
      <c r="N18" s="134"/>
      <c r="O18" s="134"/>
      <c r="P18" s="134"/>
      <c r="Q18" s="134"/>
      <c r="R18" s="134"/>
      <c r="S18" s="134"/>
    </row>
    <row r="19" spans="1:19" ht="14.4" customHeight="1" x14ac:dyDescent="0.3">
      <c r="A19" s="84" t="s">
        <v>311</v>
      </c>
      <c r="B19" s="54">
        <v>54644</v>
      </c>
      <c r="C19" s="54">
        <v>37177</v>
      </c>
      <c r="D19" s="54">
        <v>12062</v>
      </c>
      <c r="E19" s="82">
        <f t="shared" ref="E19:F22" si="6">B19-C19</f>
        <v>17467</v>
      </c>
      <c r="F19" s="59">
        <f t="shared" si="6"/>
        <v>25115</v>
      </c>
      <c r="G19" s="60">
        <f t="shared" ref="G19:H22" si="7">E19/C19</f>
        <v>0.46983349920649864</v>
      </c>
      <c r="H19" s="60">
        <f t="shared" si="7"/>
        <v>2.0821588459625269</v>
      </c>
      <c r="I19" s="60">
        <f t="shared" ref="I19:J22" si="8">B19/C19</f>
        <v>1.4698334992064988</v>
      </c>
      <c r="J19" s="60">
        <f t="shared" si="8"/>
        <v>3.0821588459625269</v>
      </c>
      <c r="L19" s="134"/>
      <c r="M19" s="134"/>
      <c r="N19" s="134"/>
      <c r="O19" s="134"/>
      <c r="P19" s="134"/>
      <c r="Q19" s="134"/>
      <c r="R19" s="134"/>
      <c r="S19" s="134"/>
    </row>
    <row r="20" spans="1:19" ht="14.4" customHeight="1" x14ac:dyDescent="0.3">
      <c r="A20" s="84" t="s">
        <v>312</v>
      </c>
      <c r="B20" s="54">
        <v>-22993</v>
      </c>
      <c r="C20" s="54">
        <v>-21785</v>
      </c>
      <c r="D20" s="54">
        <v>-2921</v>
      </c>
      <c r="E20" s="83">
        <f t="shared" si="6"/>
        <v>-1208</v>
      </c>
      <c r="F20" s="54">
        <f t="shared" si="6"/>
        <v>-18864</v>
      </c>
      <c r="G20" s="57">
        <f t="shared" si="7"/>
        <v>5.5450998393389947E-2</v>
      </c>
      <c r="H20" s="57">
        <f t="shared" si="7"/>
        <v>6.4580623074289623</v>
      </c>
      <c r="I20" s="57">
        <f t="shared" si="8"/>
        <v>1.05545099839339</v>
      </c>
      <c r="J20" s="57">
        <f t="shared" si="8"/>
        <v>7.4580623074289623</v>
      </c>
      <c r="L20" s="134"/>
      <c r="M20" s="134"/>
      <c r="N20" s="134"/>
      <c r="O20" s="134"/>
      <c r="P20" s="134"/>
      <c r="Q20" s="134"/>
      <c r="R20" s="134"/>
      <c r="S20" s="134"/>
    </row>
    <row r="21" spans="1:19" ht="14.4" customHeight="1" x14ac:dyDescent="0.3">
      <c r="A21" s="84" t="s">
        <v>313</v>
      </c>
      <c r="B21" s="54">
        <v>-9502</v>
      </c>
      <c r="C21" s="54">
        <v>1256</v>
      </c>
      <c r="D21" s="54">
        <v>-2970</v>
      </c>
      <c r="E21" s="83">
        <f t="shared" si="6"/>
        <v>-10758</v>
      </c>
      <c r="F21" s="54">
        <f t="shared" si="6"/>
        <v>4226</v>
      </c>
      <c r="G21" s="57">
        <f t="shared" si="7"/>
        <v>-8.5652866242038215</v>
      </c>
      <c r="H21" s="57">
        <f t="shared" si="7"/>
        <v>-1.4228956228956229</v>
      </c>
      <c r="I21" s="57">
        <f t="shared" si="8"/>
        <v>-7.5652866242038215</v>
      </c>
      <c r="J21" s="57">
        <f t="shared" si="8"/>
        <v>-0.42289562289562288</v>
      </c>
      <c r="L21" s="134"/>
      <c r="M21" s="134"/>
      <c r="N21" s="134"/>
      <c r="O21" s="134"/>
      <c r="P21" s="134"/>
      <c r="Q21" s="134"/>
      <c r="R21" s="134"/>
      <c r="S21" s="134"/>
    </row>
    <row r="22" spans="1:19" ht="14.4" customHeight="1" x14ac:dyDescent="0.3">
      <c r="A22" s="96" t="s">
        <v>42</v>
      </c>
      <c r="B22" s="97">
        <v>22149</v>
      </c>
      <c r="C22" s="97">
        <v>16648</v>
      </c>
      <c r="D22" s="97">
        <v>6171</v>
      </c>
      <c r="E22" s="83">
        <f t="shared" si="6"/>
        <v>5501</v>
      </c>
      <c r="F22" s="54">
        <f t="shared" si="6"/>
        <v>10477</v>
      </c>
      <c r="G22" s="57">
        <f t="shared" si="7"/>
        <v>0.33043008169149446</v>
      </c>
      <c r="H22" s="57">
        <f t="shared" si="7"/>
        <v>1.6977799384216496</v>
      </c>
      <c r="I22" s="57">
        <f t="shared" si="8"/>
        <v>1.3304300816914945</v>
      </c>
      <c r="J22" s="57">
        <f t="shared" si="8"/>
        <v>2.6977799384216499</v>
      </c>
      <c r="L22" s="134"/>
      <c r="M22" s="134"/>
      <c r="N22" s="134"/>
      <c r="O22" s="134"/>
      <c r="P22" s="134"/>
      <c r="Q22" s="134"/>
      <c r="R22" s="134"/>
      <c r="S22" s="134"/>
    </row>
    <row r="23" spans="1:19" ht="14.4" customHeight="1" x14ac:dyDescent="0.3">
      <c r="A23" s="79"/>
      <c r="B23" s="80"/>
      <c r="C23" s="80"/>
      <c r="D23" s="80"/>
      <c r="E23" s="1"/>
      <c r="F23" s="1"/>
    </row>
    <row r="24" spans="1:19" ht="15.6" customHeight="1" x14ac:dyDescent="0.3">
      <c r="A24" s="163" t="s">
        <v>314</v>
      </c>
      <c r="B24" s="163"/>
      <c r="C24" s="163"/>
      <c r="D24" s="163"/>
    </row>
    <row r="25" spans="1:19" ht="18" customHeight="1" x14ac:dyDescent="0.3">
      <c r="A25" s="63" t="s">
        <v>315</v>
      </c>
      <c r="B25" s="4">
        <v>2024</v>
      </c>
      <c r="C25" s="4">
        <v>2023</v>
      </c>
      <c r="D25" s="4">
        <v>2022</v>
      </c>
      <c r="F25" s="159" t="s">
        <v>316</v>
      </c>
      <c r="G25" s="179"/>
      <c r="H25" s="179"/>
      <c r="I25" s="179"/>
      <c r="J25" s="179"/>
      <c r="K25" s="179"/>
      <c r="L25" s="179"/>
    </row>
    <row r="26" spans="1:19" ht="14.4" customHeight="1" x14ac:dyDescent="0.3">
      <c r="A26" s="173" t="s">
        <v>317</v>
      </c>
      <c r="B26" s="173"/>
      <c r="C26" s="173"/>
      <c r="D26" s="173"/>
      <c r="F26" s="179"/>
      <c r="G26" s="179"/>
      <c r="H26" s="179"/>
      <c r="I26" s="179"/>
      <c r="J26" s="179"/>
      <c r="K26" s="179"/>
      <c r="L26" s="179"/>
    </row>
    <row r="27" spans="1:19" ht="25.5" customHeight="1" x14ac:dyDescent="0.3">
      <c r="A27" s="85" t="s">
        <v>318</v>
      </c>
      <c r="B27" s="86">
        <f>B4/B6</f>
        <v>0.24335626310837988</v>
      </c>
      <c r="C27" s="87">
        <f t="shared" ref="C27:D27" si="9">C4/C6</f>
        <v>0.28501816605945163</v>
      </c>
      <c r="D27" s="88">
        <f t="shared" si="9"/>
        <v>0.34973026640098315</v>
      </c>
      <c r="F27" s="179"/>
      <c r="G27" s="179"/>
      <c r="H27" s="179"/>
      <c r="I27" s="179"/>
      <c r="J27" s="179"/>
      <c r="K27" s="179"/>
      <c r="L27" s="179"/>
    </row>
    <row r="28" spans="1:19" ht="28.95" customHeight="1" x14ac:dyDescent="0.3">
      <c r="A28" s="89" t="s">
        <v>319</v>
      </c>
      <c r="B28" s="90">
        <f>B5/B6</f>
        <v>0.75664373689162012</v>
      </c>
      <c r="C28" s="90">
        <f t="shared" ref="C28:D28" si="10">C5/C6</f>
        <v>0.71498183394054837</v>
      </c>
      <c r="D28" s="86">
        <f t="shared" si="10"/>
        <v>0.65026973359901685</v>
      </c>
      <c r="F28" s="179"/>
      <c r="G28" s="179"/>
      <c r="H28" s="179"/>
      <c r="I28" s="179"/>
      <c r="J28" s="179"/>
      <c r="K28" s="179"/>
      <c r="L28" s="179"/>
    </row>
    <row r="29" spans="1:19" ht="14.4" customHeight="1" x14ac:dyDescent="0.3">
      <c r="A29" s="89" t="s">
        <v>320</v>
      </c>
      <c r="B29" s="90">
        <f>B7/B10</f>
        <v>0.3713587833697275</v>
      </c>
      <c r="C29" s="90">
        <f t="shared" ref="C29:D29" si="11">C7/C10</f>
        <v>0.41937645819790675</v>
      </c>
      <c r="D29" s="90">
        <f t="shared" si="11"/>
        <v>0.48613145781116568</v>
      </c>
      <c r="F29" s="179"/>
      <c r="G29" s="179"/>
      <c r="H29" s="179"/>
      <c r="I29" s="179"/>
      <c r="J29" s="179"/>
      <c r="K29" s="179"/>
      <c r="L29" s="179"/>
    </row>
    <row r="30" spans="1:19" ht="27" customHeight="1" x14ac:dyDescent="0.3">
      <c r="A30" s="89" t="s">
        <v>321</v>
      </c>
      <c r="B30" s="90">
        <f>(B8+B9)/B10</f>
        <v>0.6286412166302725</v>
      </c>
      <c r="C30" s="90">
        <f>(C8+C9)/C10</f>
        <v>0.5806235418020933</v>
      </c>
      <c r="D30" s="90">
        <f>(D8+D9)/D10</f>
        <v>0.51386854218883438</v>
      </c>
      <c r="F30" s="179"/>
      <c r="G30" s="179"/>
      <c r="H30" s="179"/>
      <c r="I30" s="179"/>
      <c r="J30" s="179"/>
      <c r="K30" s="179"/>
      <c r="L30" s="179"/>
    </row>
    <row r="31" spans="1:19" ht="14.4" customHeight="1" x14ac:dyDescent="0.3">
      <c r="A31" s="174" t="s">
        <v>322</v>
      </c>
      <c r="B31" s="174"/>
      <c r="C31" s="174"/>
      <c r="D31" s="174"/>
      <c r="F31" s="179"/>
      <c r="G31" s="179"/>
      <c r="H31" s="179"/>
      <c r="I31" s="179"/>
      <c r="J31" s="179"/>
      <c r="K31" s="179"/>
      <c r="L31" s="179"/>
    </row>
    <row r="32" spans="1:19" ht="28.8" x14ac:dyDescent="0.3">
      <c r="A32" s="89" t="s">
        <v>323</v>
      </c>
      <c r="B32" s="90">
        <f>B13/B$12</f>
        <v>0.8303858285401795</v>
      </c>
      <c r="C32" s="90">
        <f t="shared" ref="C32:D32" si="12">C13/C12</f>
        <v>0.8048497218471139</v>
      </c>
      <c r="D32" s="90">
        <f t="shared" si="12"/>
        <v>0.80714469314006643</v>
      </c>
      <c r="F32" s="179"/>
      <c r="G32" s="179"/>
      <c r="H32" s="179"/>
      <c r="I32" s="179"/>
      <c r="J32" s="179"/>
      <c r="K32" s="179"/>
      <c r="L32" s="179"/>
    </row>
    <row r="33" spans="1:18" ht="28.8" x14ac:dyDescent="0.3">
      <c r="A33" s="89" t="s">
        <v>324</v>
      </c>
      <c r="B33" s="90">
        <f>B14/B$12</f>
        <v>0.16961417145982052</v>
      </c>
      <c r="C33" s="90">
        <f>C14/C$12</f>
        <v>0.19515027815288616</v>
      </c>
      <c r="D33" s="90">
        <f>D14/D$12</f>
        <v>0.19285530685993357</v>
      </c>
      <c r="F33" s="179"/>
      <c r="G33" s="179"/>
      <c r="H33" s="179"/>
      <c r="I33" s="179"/>
      <c r="J33" s="179"/>
      <c r="K33" s="179"/>
      <c r="L33" s="179"/>
    </row>
    <row r="34" spans="1:18" ht="28.8" x14ac:dyDescent="0.3">
      <c r="A34" s="89" t="s">
        <v>325</v>
      </c>
      <c r="B34" s="90">
        <f>B15/B$12</f>
        <v>3.8677252294040863E-2</v>
      </c>
      <c r="C34" s="90">
        <f>C15/C$12</f>
        <v>5.950994237648053E-2</v>
      </c>
      <c r="D34" s="90">
        <f>D15/D$12</f>
        <v>6.7535897345436038E-3</v>
      </c>
      <c r="F34" s="179"/>
      <c r="G34" s="179"/>
      <c r="H34" s="179"/>
      <c r="I34" s="179"/>
      <c r="J34" s="179"/>
      <c r="K34" s="179"/>
      <c r="L34" s="179"/>
    </row>
    <row r="35" spans="1:18" ht="28.8" x14ac:dyDescent="0.3">
      <c r="A35" s="89" t="s">
        <v>326</v>
      </c>
      <c r="B35" s="90">
        <f>B17/B12</f>
        <v>3.3589510723969672E-2</v>
      </c>
      <c r="C35" s="90">
        <f>C17/C12</f>
        <v>4.5593707800307186E-2</v>
      </c>
      <c r="D35" s="90">
        <f>D17/D12</f>
        <v>3.6035945225363257E-3</v>
      </c>
      <c r="F35" s="100"/>
      <c r="G35" s="100"/>
      <c r="H35" s="100"/>
      <c r="I35" s="100"/>
      <c r="J35" s="100"/>
    </row>
    <row r="37" spans="1:18" ht="17.25" customHeight="1" x14ac:dyDescent="0.3">
      <c r="A37" s="175" t="s">
        <v>327</v>
      </c>
      <c r="B37" s="175"/>
      <c r="C37" s="175"/>
      <c r="D37" s="175"/>
      <c r="E37" s="176"/>
      <c r="F37" s="159" t="s">
        <v>328</v>
      </c>
      <c r="G37" s="179"/>
      <c r="H37" s="179"/>
      <c r="I37" s="179"/>
      <c r="J37" s="179"/>
      <c r="K37" s="179"/>
      <c r="L37" s="179"/>
      <c r="M37" s="179"/>
      <c r="N37" s="179"/>
      <c r="O37" s="179"/>
      <c r="P37" s="179"/>
      <c r="Q37" s="179"/>
      <c r="R37" s="179"/>
    </row>
    <row r="38" spans="1:18" ht="16.5" customHeight="1" x14ac:dyDescent="0.3">
      <c r="A38" s="89" t="s">
        <v>329</v>
      </c>
      <c r="B38" s="4" t="s">
        <v>330</v>
      </c>
      <c r="C38" s="4">
        <v>2024</v>
      </c>
      <c r="D38" s="4">
        <v>2023</v>
      </c>
      <c r="E38" s="29">
        <v>2022</v>
      </c>
      <c r="F38" s="179"/>
      <c r="G38" s="179"/>
      <c r="H38" s="179"/>
      <c r="I38" s="179"/>
      <c r="J38" s="179"/>
      <c r="K38" s="179"/>
      <c r="L38" s="179"/>
      <c r="M38" s="179"/>
      <c r="N38" s="179"/>
      <c r="O38" s="179"/>
      <c r="P38" s="179"/>
      <c r="Q38" s="179"/>
      <c r="R38" s="179"/>
    </row>
    <row r="39" spans="1:18" ht="29.4" customHeight="1" x14ac:dyDescent="0.3">
      <c r="A39" s="4" t="s">
        <v>331</v>
      </c>
      <c r="B39" s="77" t="s">
        <v>332</v>
      </c>
      <c r="C39" s="91">
        <f>B7/B4</f>
        <v>1.5259881896047243</v>
      </c>
      <c r="D39" s="91">
        <f t="shared" ref="D39:E39" si="13">C7/C4</f>
        <v>1.471402556531886</v>
      </c>
      <c r="E39" s="104">
        <f t="shared" si="13"/>
        <v>1.3900182641149845</v>
      </c>
      <c r="F39" s="179"/>
      <c r="G39" s="179"/>
      <c r="H39" s="179"/>
      <c r="I39" s="179"/>
      <c r="J39" s="179"/>
      <c r="K39" s="179"/>
      <c r="L39" s="179"/>
      <c r="M39" s="179"/>
      <c r="N39" s="179"/>
      <c r="O39" s="179"/>
      <c r="P39" s="179"/>
      <c r="Q39" s="179"/>
      <c r="R39" s="179"/>
    </row>
    <row r="40" spans="1:18" ht="31.95" customHeight="1" x14ac:dyDescent="0.3">
      <c r="A40" s="4" t="s">
        <v>333</v>
      </c>
      <c r="B40" s="77" t="s">
        <v>334</v>
      </c>
      <c r="C40" s="91">
        <f>(B7+B8)/B4</f>
        <v>1.925573229770708</v>
      </c>
      <c r="D40" s="91">
        <f t="shared" ref="D40:E40" si="14">(C7+C8)/C4</f>
        <v>1.8517706546913952</v>
      </c>
      <c r="E40" s="104">
        <f t="shared" si="14"/>
        <v>1.553898991503216</v>
      </c>
      <c r="F40" s="179"/>
      <c r="G40" s="179"/>
      <c r="H40" s="179"/>
      <c r="I40" s="179"/>
      <c r="J40" s="179"/>
      <c r="K40" s="179"/>
      <c r="L40" s="179"/>
      <c r="M40" s="179"/>
      <c r="N40" s="179"/>
      <c r="O40" s="179"/>
      <c r="P40" s="179"/>
      <c r="Q40" s="179"/>
      <c r="R40" s="179"/>
    </row>
    <row r="41" spans="1:18" x14ac:dyDescent="0.3">
      <c r="F41" s="179"/>
      <c r="G41" s="179"/>
      <c r="H41" s="179"/>
      <c r="I41" s="179"/>
      <c r="J41" s="179"/>
      <c r="K41" s="179"/>
      <c r="L41" s="179"/>
      <c r="M41" s="179"/>
      <c r="N41" s="179"/>
      <c r="O41" s="179"/>
      <c r="P41" s="179"/>
      <c r="Q41" s="179"/>
      <c r="R41" s="179"/>
    </row>
    <row r="42" spans="1:18" x14ac:dyDescent="0.3">
      <c r="F42" s="179"/>
      <c r="G42" s="179"/>
      <c r="H42" s="179"/>
      <c r="I42" s="179"/>
      <c r="J42" s="179"/>
      <c r="K42" s="179"/>
      <c r="L42" s="179"/>
      <c r="M42" s="179"/>
      <c r="N42" s="179"/>
      <c r="O42" s="179"/>
      <c r="P42" s="179"/>
      <c r="Q42" s="179"/>
      <c r="R42" s="179"/>
    </row>
    <row r="43" spans="1:18" x14ac:dyDescent="0.3">
      <c r="F43" s="179"/>
      <c r="G43" s="179"/>
      <c r="H43" s="179"/>
      <c r="I43" s="179"/>
      <c r="J43" s="179"/>
      <c r="K43" s="179"/>
      <c r="L43" s="179"/>
      <c r="M43" s="179"/>
      <c r="N43" s="179"/>
      <c r="O43" s="179"/>
      <c r="P43" s="179"/>
      <c r="Q43" s="179"/>
      <c r="R43" s="179"/>
    </row>
    <row r="45" spans="1:18" ht="15.6" x14ac:dyDescent="0.3">
      <c r="A45" s="182" t="s">
        <v>335</v>
      </c>
      <c r="B45" s="182"/>
      <c r="C45" s="182"/>
      <c r="D45" s="182"/>
      <c r="E45" s="183"/>
      <c r="F45" s="184" t="s">
        <v>336</v>
      </c>
      <c r="G45" s="184"/>
      <c r="H45" s="184"/>
      <c r="I45" s="184"/>
      <c r="J45" s="184"/>
    </row>
    <row r="46" spans="1:18" x14ac:dyDescent="0.3">
      <c r="A46" s="101" t="s">
        <v>337</v>
      </c>
      <c r="B46" s="63" t="s">
        <v>338</v>
      </c>
      <c r="C46" s="63" t="s">
        <v>339</v>
      </c>
      <c r="D46" s="63" t="s">
        <v>340</v>
      </c>
      <c r="E46" s="63" t="s">
        <v>341</v>
      </c>
      <c r="F46" s="184"/>
      <c r="G46" s="184"/>
      <c r="H46" s="184"/>
      <c r="I46" s="184"/>
      <c r="J46" s="184"/>
    </row>
    <row r="47" spans="1:18" ht="30" customHeight="1" x14ac:dyDescent="0.3">
      <c r="A47" s="99">
        <v>2022</v>
      </c>
      <c r="B47" s="102" t="s">
        <v>342</v>
      </c>
      <c r="C47" s="102" t="s">
        <v>39</v>
      </c>
      <c r="D47" s="102" t="s">
        <v>39</v>
      </c>
      <c r="E47" s="99" t="s">
        <v>343</v>
      </c>
      <c r="F47" s="181" t="s">
        <v>344</v>
      </c>
      <c r="G47" s="181"/>
      <c r="H47" s="181"/>
      <c r="I47" s="181"/>
      <c r="J47" s="181"/>
    </row>
    <row r="48" spans="1:18" ht="30.75" customHeight="1" x14ac:dyDescent="0.3">
      <c r="A48" s="98">
        <v>2023</v>
      </c>
      <c r="B48" s="103" t="s">
        <v>342</v>
      </c>
      <c r="C48" s="103" t="s">
        <v>39</v>
      </c>
      <c r="D48" s="103" t="s">
        <v>342</v>
      </c>
      <c r="E48" s="98" t="s">
        <v>345</v>
      </c>
      <c r="F48" s="185" t="s">
        <v>346</v>
      </c>
      <c r="G48" s="185"/>
      <c r="H48" s="185"/>
      <c r="I48" s="185"/>
      <c r="J48" s="185"/>
    </row>
    <row r="49" spans="1:14" ht="27" customHeight="1" x14ac:dyDescent="0.3">
      <c r="A49" s="98">
        <v>2024</v>
      </c>
      <c r="B49" s="103" t="s">
        <v>342</v>
      </c>
      <c r="C49" s="103" t="s">
        <v>39</v>
      </c>
      <c r="D49" s="103" t="s">
        <v>39</v>
      </c>
      <c r="E49" s="98" t="s">
        <v>343</v>
      </c>
      <c r="F49" s="185" t="s">
        <v>347</v>
      </c>
      <c r="G49" s="185"/>
      <c r="H49" s="185"/>
      <c r="I49" s="185"/>
      <c r="J49" s="185"/>
    </row>
    <row r="51" spans="1:14" x14ac:dyDescent="0.3">
      <c r="A51" s="106" t="s">
        <v>337</v>
      </c>
      <c r="B51" s="84" t="s">
        <v>348</v>
      </c>
      <c r="C51" s="107" t="s">
        <v>349</v>
      </c>
      <c r="D51" s="107" t="s">
        <v>341</v>
      </c>
      <c r="E51" s="180" t="s">
        <v>350</v>
      </c>
      <c r="F51" s="180"/>
      <c r="G51" s="180"/>
      <c r="H51" s="180"/>
      <c r="I51" s="180"/>
      <c r="J51" s="180"/>
      <c r="K51" s="180"/>
      <c r="L51" s="180"/>
    </row>
    <row r="52" spans="1:14" ht="14.25" customHeight="1" x14ac:dyDescent="0.3">
      <c r="A52" s="98">
        <v>2022</v>
      </c>
      <c r="B52" s="84" t="s">
        <v>342</v>
      </c>
      <c r="C52" s="107" t="s">
        <v>342</v>
      </c>
      <c r="D52" s="109" t="s">
        <v>351</v>
      </c>
      <c r="E52" s="177" t="s">
        <v>352</v>
      </c>
      <c r="F52" s="177"/>
      <c r="G52" s="177"/>
      <c r="H52" s="177"/>
      <c r="I52" s="177"/>
      <c r="J52" s="177"/>
      <c r="K52" s="177"/>
      <c r="L52" s="177"/>
    </row>
    <row r="53" spans="1:14" x14ac:dyDescent="0.3">
      <c r="A53" s="98">
        <v>2023</v>
      </c>
      <c r="B53" s="84" t="s">
        <v>342</v>
      </c>
      <c r="C53" s="107" t="s">
        <v>342</v>
      </c>
      <c r="D53" s="109" t="s">
        <v>351</v>
      </c>
      <c r="E53" s="178"/>
      <c r="F53" s="178"/>
      <c r="G53" s="178"/>
      <c r="H53" s="178"/>
      <c r="I53" s="178"/>
      <c r="J53" s="178"/>
      <c r="K53" s="178"/>
      <c r="L53" s="178"/>
    </row>
    <row r="54" spans="1:14" x14ac:dyDescent="0.3">
      <c r="A54" s="98">
        <v>2024</v>
      </c>
      <c r="B54" s="84" t="s">
        <v>342</v>
      </c>
      <c r="C54" s="107" t="s">
        <v>342</v>
      </c>
      <c r="D54" s="109" t="s">
        <v>351</v>
      </c>
      <c r="E54" s="178"/>
      <c r="F54" s="178"/>
      <c r="G54" s="178"/>
      <c r="H54" s="178"/>
      <c r="I54" s="178"/>
      <c r="J54" s="178"/>
      <c r="K54" s="178"/>
      <c r="L54" s="178"/>
    </row>
    <row r="55" spans="1:14" ht="14.4" customHeight="1" x14ac:dyDescent="0.3">
      <c r="E55" s="178"/>
      <c r="F55" s="178"/>
      <c r="G55" s="178"/>
      <c r="H55" s="178"/>
      <c r="I55" s="178"/>
      <c r="J55" s="178"/>
      <c r="K55" s="178"/>
      <c r="L55" s="178"/>
    </row>
    <row r="57" spans="1:14" ht="14.4" customHeight="1" x14ac:dyDescent="0.3">
      <c r="A57" s="159" t="s">
        <v>353</v>
      </c>
      <c r="B57" s="159"/>
      <c r="C57" s="159"/>
      <c r="D57" s="159"/>
      <c r="E57" s="159"/>
      <c r="F57" s="159"/>
      <c r="G57" s="159"/>
      <c r="H57" s="159"/>
      <c r="I57" s="159"/>
      <c r="J57" s="159"/>
      <c r="K57" s="159"/>
      <c r="L57" s="159"/>
      <c r="M57" s="159"/>
      <c r="N57" s="160"/>
    </row>
    <row r="58" spans="1:14" x14ac:dyDescent="0.3">
      <c r="A58" s="159"/>
      <c r="B58" s="159"/>
      <c r="C58" s="159"/>
      <c r="D58" s="159"/>
      <c r="E58" s="159"/>
      <c r="F58" s="159"/>
      <c r="G58" s="159"/>
      <c r="H58" s="159"/>
      <c r="I58" s="159"/>
      <c r="J58" s="159"/>
      <c r="K58" s="159"/>
      <c r="L58" s="159"/>
      <c r="M58" s="159"/>
      <c r="N58" s="159"/>
    </row>
    <row r="59" spans="1:14" x14ac:dyDescent="0.3">
      <c r="A59" s="159"/>
      <c r="B59" s="159"/>
      <c r="C59" s="159"/>
      <c r="D59" s="159"/>
      <c r="E59" s="159"/>
      <c r="F59" s="159"/>
      <c r="G59" s="159"/>
      <c r="H59" s="159"/>
      <c r="I59" s="159"/>
      <c r="J59" s="159"/>
      <c r="K59" s="159"/>
      <c r="L59" s="159"/>
      <c r="M59" s="159"/>
      <c r="N59" s="159"/>
    </row>
    <row r="60" spans="1:14" x14ac:dyDescent="0.3">
      <c r="A60" s="159"/>
      <c r="B60" s="159"/>
      <c r="C60" s="159"/>
      <c r="D60" s="159"/>
      <c r="E60" s="159"/>
      <c r="F60" s="159"/>
      <c r="G60" s="159"/>
      <c r="H60" s="159"/>
      <c r="I60" s="159"/>
      <c r="J60" s="159"/>
      <c r="K60" s="159"/>
      <c r="L60" s="159"/>
      <c r="M60" s="159"/>
      <c r="N60" s="159"/>
    </row>
    <row r="61" spans="1:14" x14ac:dyDescent="0.3">
      <c r="A61" s="159"/>
      <c r="B61" s="159"/>
      <c r="C61" s="159"/>
      <c r="D61" s="159"/>
      <c r="E61" s="159"/>
      <c r="F61" s="159"/>
      <c r="G61" s="159"/>
      <c r="H61" s="159"/>
      <c r="I61" s="159"/>
      <c r="J61" s="159"/>
      <c r="K61" s="159"/>
      <c r="L61" s="159"/>
      <c r="M61" s="159"/>
      <c r="N61" s="159"/>
    </row>
    <row r="62" spans="1:14" x14ac:dyDescent="0.3">
      <c r="A62" s="159"/>
      <c r="B62" s="159"/>
      <c r="C62" s="159"/>
      <c r="D62" s="159"/>
      <c r="E62" s="159"/>
      <c r="F62" s="159"/>
      <c r="G62" s="159"/>
      <c r="H62" s="159"/>
      <c r="I62" s="159"/>
      <c r="J62" s="159"/>
      <c r="K62" s="159"/>
      <c r="L62" s="159"/>
      <c r="M62" s="159"/>
      <c r="N62" s="159"/>
    </row>
    <row r="63" spans="1:14" x14ac:dyDescent="0.3">
      <c r="A63" s="159"/>
      <c r="B63" s="159"/>
      <c r="C63" s="159"/>
      <c r="D63" s="159"/>
      <c r="E63" s="159"/>
      <c r="F63" s="159"/>
      <c r="G63" s="159"/>
      <c r="H63" s="159"/>
      <c r="I63" s="159"/>
      <c r="J63" s="159"/>
      <c r="K63" s="159"/>
      <c r="L63" s="159"/>
      <c r="M63" s="159"/>
      <c r="N63" s="159"/>
    </row>
    <row r="64" spans="1:14" x14ac:dyDescent="0.3">
      <c r="A64" s="159"/>
      <c r="B64" s="159"/>
      <c r="C64" s="159"/>
      <c r="D64" s="159"/>
      <c r="E64" s="159"/>
      <c r="F64" s="159"/>
      <c r="G64" s="159"/>
      <c r="H64" s="159"/>
      <c r="I64" s="159"/>
      <c r="J64" s="159"/>
      <c r="K64" s="159"/>
      <c r="L64" s="159"/>
      <c r="M64" s="159"/>
      <c r="N64" s="159"/>
    </row>
    <row r="65" spans="1:14" x14ac:dyDescent="0.3">
      <c r="A65" s="159"/>
      <c r="B65" s="159"/>
      <c r="C65" s="159"/>
      <c r="D65" s="159"/>
      <c r="E65" s="159"/>
      <c r="F65" s="159"/>
      <c r="G65" s="159"/>
      <c r="H65" s="159"/>
      <c r="I65" s="159"/>
      <c r="J65" s="159"/>
      <c r="K65" s="159"/>
      <c r="L65" s="159"/>
      <c r="M65" s="159"/>
      <c r="N65" s="159"/>
    </row>
    <row r="66" spans="1:14" x14ac:dyDescent="0.3">
      <c r="A66" s="159"/>
      <c r="B66" s="159"/>
      <c r="C66" s="159"/>
      <c r="D66" s="159"/>
      <c r="E66" s="159"/>
      <c r="F66" s="159"/>
      <c r="G66" s="159"/>
      <c r="H66" s="159"/>
      <c r="I66" s="159"/>
      <c r="J66" s="159"/>
      <c r="K66" s="159"/>
      <c r="L66" s="159"/>
      <c r="M66" s="159"/>
      <c r="N66" s="159"/>
    </row>
    <row r="67" spans="1:14" x14ac:dyDescent="0.3">
      <c r="A67" s="159"/>
      <c r="B67" s="159"/>
      <c r="C67" s="159"/>
      <c r="D67" s="159"/>
      <c r="E67" s="159"/>
      <c r="F67" s="159"/>
      <c r="G67" s="159"/>
      <c r="H67" s="159"/>
      <c r="I67" s="159"/>
      <c r="J67" s="159"/>
      <c r="K67" s="159"/>
      <c r="L67" s="159"/>
      <c r="M67" s="159"/>
      <c r="N67" s="159"/>
    </row>
    <row r="68" spans="1:14" x14ac:dyDescent="0.3">
      <c r="A68" s="159"/>
      <c r="B68" s="159"/>
      <c r="C68" s="159"/>
      <c r="D68" s="159"/>
      <c r="E68" s="159"/>
      <c r="F68" s="159"/>
      <c r="G68" s="159"/>
      <c r="H68" s="159"/>
      <c r="I68" s="159"/>
      <c r="J68" s="159"/>
      <c r="K68" s="159"/>
      <c r="L68" s="159"/>
      <c r="M68" s="159"/>
      <c r="N68" s="159"/>
    </row>
    <row r="69" spans="1:14" x14ac:dyDescent="0.3">
      <c r="A69" s="159"/>
      <c r="B69" s="159"/>
      <c r="C69" s="159"/>
      <c r="D69" s="159"/>
      <c r="E69" s="159"/>
      <c r="F69" s="159"/>
      <c r="G69" s="159"/>
      <c r="H69" s="159"/>
      <c r="I69" s="159"/>
      <c r="J69" s="159"/>
      <c r="K69" s="159"/>
      <c r="L69" s="159"/>
      <c r="M69" s="159"/>
      <c r="N69" s="159"/>
    </row>
    <row r="70" spans="1:14" ht="14.4" hidden="1" customHeight="1" x14ac:dyDescent="0.3">
      <c r="A70" s="159"/>
      <c r="B70" s="159"/>
      <c r="C70" s="159"/>
      <c r="D70" s="159"/>
      <c r="E70" s="159"/>
      <c r="F70" s="159"/>
      <c r="G70" s="159"/>
      <c r="H70" s="159"/>
      <c r="I70" s="159"/>
      <c r="J70" s="159"/>
      <c r="K70" s="159"/>
      <c r="L70" s="159"/>
      <c r="M70" s="159"/>
      <c r="N70" s="159"/>
    </row>
    <row r="71" spans="1:14" ht="14.4" hidden="1" customHeight="1" x14ac:dyDescent="0.3">
      <c r="A71" s="159"/>
      <c r="B71" s="159"/>
      <c r="C71" s="159"/>
      <c r="D71" s="159"/>
      <c r="E71" s="159"/>
      <c r="F71" s="159"/>
      <c r="G71" s="159"/>
      <c r="H71" s="159"/>
      <c r="I71" s="159"/>
      <c r="J71" s="159"/>
      <c r="K71" s="159"/>
      <c r="L71" s="159"/>
      <c r="M71" s="159"/>
      <c r="N71" s="159"/>
    </row>
    <row r="72" spans="1:14" ht="14.4" hidden="1" customHeight="1" x14ac:dyDescent="0.3">
      <c r="A72" s="159"/>
      <c r="B72" s="159"/>
      <c r="C72" s="159"/>
      <c r="D72" s="159"/>
      <c r="E72" s="159"/>
      <c r="F72" s="159"/>
      <c r="G72" s="159"/>
      <c r="H72" s="159"/>
      <c r="I72" s="159"/>
      <c r="J72" s="159"/>
      <c r="K72" s="159"/>
      <c r="L72" s="159"/>
      <c r="M72" s="159"/>
      <c r="N72" s="159"/>
    </row>
    <row r="73" spans="1:14" ht="14.4" hidden="1" customHeight="1" x14ac:dyDescent="0.3">
      <c r="A73" s="159"/>
      <c r="B73" s="159"/>
      <c r="C73" s="159"/>
      <c r="D73" s="159"/>
      <c r="E73" s="159"/>
      <c r="F73" s="159"/>
      <c r="G73" s="159"/>
      <c r="H73" s="159"/>
      <c r="I73" s="159"/>
      <c r="J73" s="159"/>
      <c r="K73" s="159"/>
      <c r="L73" s="159"/>
      <c r="M73" s="159"/>
      <c r="N73" s="159"/>
    </row>
    <row r="74" spans="1:14" x14ac:dyDescent="0.3">
      <c r="A74" s="159"/>
      <c r="B74" s="159"/>
      <c r="C74" s="159"/>
      <c r="D74" s="159"/>
      <c r="E74" s="159"/>
      <c r="F74" s="159"/>
      <c r="G74" s="159"/>
      <c r="H74" s="159"/>
      <c r="I74" s="159"/>
      <c r="J74" s="159"/>
      <c r="K74" s="159"/>
      <c r="L74" s="159"/>
      <c r="M74" s="159"/>
      <c r="N74" s="159"/>
    </row>
    <row r="75" spans="1:14" x14ac:dyDescent="0.3">
      <c r="A75" s="159"/>
      <c r="B75" s="159"/>
      <c r="C75" s="159"/>
      <c r="D75" s="159"/>
      <c r="E75" s="159"/>
      <c r="F75" s="159"/>
      <c r="G75" s="159"/>
      <c r="H75" s="159"/>
      <c r="I75" s="159"/>
      <c r="J75" s="159"/>
      <c r="K75" s="159"/>
      <c r="L75" s="159"/>
      <c r="M75" s="159"/>
      <c r="N75" s="159"/>
    </row>
    <row r="76" spans="1:14" x14ac:dyDescent="0.3">
      <c r="A76" s="159"/>
      <c r="B76" s="159"/>
      <c r="C76" s="159"/>
      <c r="D76" s="159"/>
      <c r="E76" s="159"/>
      <c r="F76" s="159"/>
      <c r="G76" s="159"/>
      <c r="H76" s="159"/>
      <c r="I76" s="159"/>
      <c r="J76" s="159"/>
      <c r="K76" s="159"/>
      <c r="L76" s="159"/>
      <c r="M76" s="159"/>
      <c r="N76" s="159"/>
    </row>
    <row r="77" spans="1:14" x14ac:dyDescent="0.3">
      <c r="A77" s="159"/>
      <c r="B77" s="159"/>
      <c r="C77" s="159"/>
      <c r="D77" s="159"/>
      <c r="E77" s="159"/>
      <c r="F77" s="159"/>
      <c r="G77" s="159"/>
      <c r="H77" s="159"/>
      <c r="I77" s="159"/>
      <c r="J77" s="159"/>
      <c r="K77" s="159"/>
      <c r="L77" s="159"/>
      <c r="M77" s="159"/>
      <c r="N77" s="159"/>
    </row>
    <row r="78" spans="1:14" x14ac:dyDescent="0.3">
      <c r="A78" s="159"/>
      <c r="B78" s="159"/>
      <c r="C78" s="159"/>
      <c r="D78" s="159"/>
      <c r="E78" s="159"/>
      <c r="F78" s="159"/>
      <c r="G78" s="159"/>
      <c r="H78" s="159"/>
      <c r="I78" s="159"/>
      <c r="J78" s="159"/>
      <c r="K78" s="159"/>
      <c r="L78" s="159"/>
      <c r="M78" s="159"/>
      <c r="N78" s="159"/>
    </row>
    <row r="79" spans="1:14" x14ac:dyDescent="0.3">
      <c r="A79" s="159"/>
      <c r="B79" s="159"/>
      <c r="C79" s="159"/>
      <c r="D79" s="159"/>
      <c r="E79" s="159"/>
      <c r="F79" s="159"/>
      <c r="G79" s="159"/>
      <c r="H79" s="159"/>
      <c r="I79" s="159"/>
      <c r="J79" s="159"/>
      <c r="K79" s="159"/>
      <c r="L79" s="159"/>
      <c r="M79" s="159"/>
      <c r="N79" s="159"/>
    </row>
    <row r="80" spans="1:14" x14ac:dyDescent="0.3">
      <c r="A80" s="108"/>
      <c r="B80" s="108"/>
      <c r="C80" s="108"/>
      <c r="D80" s="108"/>
      <c r="E80" s="108"/>
      <c r="F80" s="108"/>
      <c r="G80" s="108"/>
      <c r="H80" s="108"/>
      <c r="I80" s="108"/>
      <c r="J80" s="108"/>
      <c r="K80" s="108"/>
      <c r="L80" s="108"/>
      <c r="M80" s="108"/>
      <c r="N80" s="108"/>
    </row>
    <row r="81" spans="1:14" x14ac:dyDescent="0.3">
      <c r="A81" s="105"/>
      <c r="B81" s="105"/>
      <c r="C81" s="105"/>
      <c r="D81" s="105"/>
      <c r="E81" s="105"/>
      <c r="F81" s="105"/>
      <c r="G81" s="105"/>
      <c r="H81" s="105"/>
      <c r="I81" s="105"/>
      <c r="J81" s="105"/>
      <c r="K81" s="105"/>
      <c r="L81" s="105"/>
      <c r="M81" s="105"/>
      <c r="N81" s="105"/>
    </row>
  </sheetData>
  <mergeCells count="27">
    <mergeCell ref="E52:L55"/>
    <mergeCell ref="F37:R43"/>
    <mergeCell ref="L2:S16"/>
    <mergeCell ref="F25:L34"/>
    <mergeCell ref="E18:J18"/>
    <mergeCell ref="E51:L51"/>
    <mergeCell ref="F47:J47"/>
    <mergeCell ref="A45:E45"/>
    <mergeCell ref="F45:J46"/>
    <mergeCell ref="F48:J48"/>
    <mergeCell ref="F49:J49"/>
    <mergeCell ref="A57:N79"/>
    <mergeCell ref="A18:D18"/>
    <mergeCell ref="A24:D24"/>
    <mergeCell ref="A1:J1"/>
    <mergeCell ref="J2:J3"/>
    <mergeCell ref="A11:D11"/>
    <mergeCell ref="E11:J11"/>
    <mergeCell ref="A2:D2"/>
    <mergeCell ref="E2:E3"/>
    <mergeCell ref="F2:F3"/>
    <mergeCell ref="G2:G3"/>
    <mergeCell ref="H2:H3"/>
    <mergeCell ref="I2:I3"/>
    <mergeCell ref="A26:D26"/>
    <mergeCell ref="A31:D31"/>
    <mergeCell ref="A37:E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5CB1-4F32-4B5A-9873-98F6B7840C80}">
  <dimension ref="A1:J64"/>
  <sheetViews>
    <sheetView tabSelected="1" topLeftCell="B26" zoomScale="88" zoomScaleNormal="57" workbookViewId="0">
      <selection activeCell="D13" sqref="D13"/>
    </sheetView>
  </sheetViews>
  <sheetFormatPr defaultRowHeight="14.4" x14ac:dyDescent="0.3"/>
  <cols>
    <col min="1" max="1" width="49.77734375" customWidth="1"/>
    <col min="2" max="2" width="46.77734375" customWidth="1"/>
    <col min="3" max="3" width="145.5546875" customWidth="1"/>
    <col min="4" max="5" width="14.88671875" customWidth="1"/>
    <col min="6" max="7" width="18.44140625" customWidth="1"/>
    <col min="8" max="8" width="16" customWidth="1"/>
  </cols>
  <sheetData>
    <row r="1" spans="1:10" x14ac:dyDescent="0.3">
      <c r="A1" s="141" t="s">
        <v>354</v>
      </c>
      <c r="B1" s="139" t="s">
        <v>355</v>
      </c>
      <c r="C1" s="137" t="s">
        <v>356</v>
      </c>
      <c r="D1" s="139" t="s">
        <v>357</v>
      </c>
      <c r="E1" s="139"/>
      <c r="F1" s="139"/>
      <c r="G1" s="139"/>
      <c r="H1" s="139"/>
    </row>
    <row r="2" spans="1:10" x14ac:dyDescent="0.3">
      <c r="A2" s="141"/>
      <c r="B2" s="142"/>
      <c r="C2" s="138"/>
      <c r="D2" s="118" t="s">
        <v>358</v>
      </c>
      <c r="E2" s="118" t="s">
        <v>359</v>
      </c>
      <c r="F2" s="118" t="s">
        <v>360</v>
      </c>
      <c r="G2" s="118" t="s">
        <v>361</v>
      </c>
      <c r="H2" s="118" t="s">
        <v>362</v>
      </c>
      <c r="J2" s="116"/>
    </row>
    <row r="3" spans="1:10" x14ac:dyDescent="0.3">
      <c r="A3" s="140" t="s">
        <v>363</v>
      </c>
      <c r="B3" s="114" t="s">
        <v>364</v>
      </c>
      <c r="C3" s="120" t="s">
        <v>365</v>
      </c>
      <c r="D3" s="121">
        <f>(RZiS!E8 * 100)  /WybraneElementy!D8</f>
        <v>0.93035527074032676</v>
      </c>
      <c r="E3" s="121">
        <v>17.77</v>
      </c>
      <c r="F3" s="121">
        <f>(RZiS!D8 * 100) / ((Bilans!E20+Bilans!D20)/2)</f>
        <v>10.113934325708513</v>
      </c>
      <c r="G3" s="121">
        <v>16.68</v>
      </c>
      <c r="H3" s="121">
        <f>(RZiS!C8 * 100) / ((Bilans!D20+Bilans!C20)/2)</f>
        <v>5.5243404336435216</v>
      </c>
    </row>
    <row r="4" spans="1:10" x14ac:dyDescent="0.3">
      <c r="A4" s="140"/>
      <c r="B4" s="114" t="s">
        <v>366</v>
      </c>
      <c r="C4" s="120" t="s">
        <v>367</v>
      </c>
      <c r="D4" s="121">
        <f>RZiS!E13*100 / Bilans!E22</f>
        <v>1.0211659858893427</v>
      </c>
      <c r="E4" s="121">
        <v>29.62</v>
      </c>
      <c r="F4" s="121">
        <f>RZiS!D13*100 / ((Bilans!E22+Bilans!D22)/2)</f>
        <v>17.317706633951527</v>
      </c>
      <c r="G4" s="121">
        <v>26.09</v>
      </c>
      <c r="H4" s="121">
        <f>RZiS!C13*100/((Bilans!C22+Bilans!D22)/2)</f>
        <v>12.191923249604196</v>
      </c>
    </row>
    <row r="5" spans="1:10" x14ac:dyDescent="0.3">
      <c r="A5" s="140"/>
      <c r="B5" s="114" t="s">
        <v>368</v>
      </c>
      <c r="C5" s="120" t="s">
        <v>369</v>
      </c>
      <c r="D5" s="121">
        <f>RZiS!E13*100/(RZiS!E2+Table004__Page_5[[#This Row],[2022 r.]]+RZiS!E9)</f>
        <v>0.35843371984018368</v>
      </c>
      <c r="E5" s="121">
        <v>8.4600000000000009</v>
      </c>
      <c r="F5" s="121">
        <f>RZiS!D13*100 / (RZiS!D2+Table004__Page_5[[#This Row],[2023 r.]]+RZiS!D9)</f>
        <v>4.5308957303248016</v>
      </c>
      <c r="G5" s="121">
        <v>8.1</v>
      </c>
      <c r="H5" s="121">
        <f>RZiS!C13*100 / (RZiS!C2+Table004__Page_5[[#This Row],[2024 r.]]+RZiS!C9)</f>
        <v>3.3168226131509333</v>
      </c>
    </row>
    <row r="6" spans="1:10" x14ac:dyDescent="0.3">
      <c r="A6" s="140"/>
      <c r="B6" s="114" t="s">
        <v>370</v>
      </c>
      <c r="C6" s="120" t="s">
        <v>371</v>
      </c>
      <c r="D6" s="121">
        <f>(RZiS!E4*100) / RZiS!E2</f>
        <v>19.285530685993358</v>
      </c>
      <c r="E6" s="121">
        <v>9.26</v>
      </c>
      <c r="F6" s="121">
        <f>RZiS!D4*100/RZiS!D2</f>
        <v>19.515027815288615</v>
      </c>
      <c r="G6" s="121">
        <v>9.31</v>
      </c>
      <c r="H6" s="121">
        <f>RZiS!C4*100/RZiS!C2</f>
        <v>16.96141714598205</v>
      </c>
    </row>
    <row r="7" spans="1:10" ht="32.25" customHeight="1" x14ac:dyDescent="0.3">
      <c r="A7" s="140"/>
      <c r="B7" s="114" t="s">
        <v>372</v>
      </c>
      <c r="C7" s="120" t="s">
        <v>373</v>
      </c>
      <c r="D7" s="121">
        <f>(RZiS!E8+'Cash Flow'!D6)*100/(RZiS!E2+RZiS!E5)</f>
        <v>4.0372295418832342</v>
      </c>
      <c r="E7" s="121">
        <v>11.64</v>
      </c>
      <c r="F7" s="121">
        <f>(RZiS!D8+'Cash Flow'!C6)*100/(RZiS!D2+RZiS!D5)</f>
        <v>8.283096379510182</v>
      </c>
      <c r="G7" s="121">
        <v>11.65</v>
      </c>
      <c r="H7" s="121">
        <f>(RZiS!C8+'Cash Flow'!B6)*100/(RZiS!C2+RZiS!C5)</f>
        <v>5.9539202245511902</v>
      </c>
    </row>
    <row r="8" spans="1:10" ht="46.5" customHeight="1" x14ac:dyDescent="0.3">
      <c r="A8" s="140" t="s">
        <v>374</v>
      </c>
      <c r="B8" s="114" t="s">
        <v>375</v>
      </c>
      <c r="C8" s="122" t="s">
        <v>376</v>
      </c>
      <c r="D8" s="121">
        <f>Bilans!E12/Bilans!E33</f>
        <v>1.4242981842513458</v>
      </c>
      <c r="E8" s="121">
        <v>3.86</v>
      </c>
      <c r="F8" s="121">
        <f>Bilans!D12/Bilans!D33</f>
        <v>1.51411283868145</v>
      </c>
      <c r="G8" s="121">
        <v>4.0599999999999996</v>
      </c>
      <c r="H8" s="121">
        <f>Bilans!C12/Bilans!C33</f>
        <v>1.4238693487741296</v>
      </c>
    </row>
    <row r="9" spans="1:10" ht="58.5" customHeight="1" x14ac:dyDescent="0.3">
      <c r="A9" s="140"/>
      <c r="B9" s="115" t="s">
        <v>377</v>
      </c>
      <c r="C9" s="122" t="s">
        <v>378</v>
      </c>
      <c r="D9" s="121">
        <f>(Bilans!E12-Bilans!E13)/Bilans!E33</f>
        <v>1.2535965205754434</v>
      </c>
      <c r="E9" s="121">
        <v>3.43</v>
      </c>
      <c r="F9" s="121">
        <f>(Bilans!D12-Bilans!D13)/Bilans!D33</f>
        <v>1.4703710422691523</v>
      </c>
      <c r="G9" s="121">
        <v>3.58</v>
      </c>
      <c r="H9" s="121">
        <f>(Bilans!C12-Bilans!C13)/Bilans!C33</f>
        <v>1.4023892087674703</v>
      </c>
    </row>
    <row r="10" spans="1:10" ht="43.2" x14ac:dyDescent="0.3">
      <c r="A10" s="140"/>
      <c r="B10" s="115" t="s">
        <v>379</v>
      </c>
      <c r="C10" s="123" t="s">
        <v>380</v>
      </c>
      <c r="D10" s="121">
        <f>Bilans!E19/Bilans!E33</f>
        <v>0.19745126068311081</v>
      </c>
      <c r="E10" s="121">
        <v>1.66</v>
      </c>
      <c r="F10" s="121">
        <f>Bilans!D19/Bilans!D33</f>
        <v>0.31621295713325293</v>
      </c>
      <c r="G10" s="121">
        <v>1.77</v>
      </c>
      <c r="H10" s="121">
        <f>Bilans!C20/Bilans!C33</f>
        <v>1.881822685301737</v>
      </c>
    </row>
    <row r="11" spans="1:10" ht="28.8" x14ac:dyDescent="0.3">
      <c r="A11" s="140" t="s">
        <v>381</v>
      </c>
      <c r="B11" s="110" t="s">
        <v>382</v>
      </c>
      <c r="C11" s="117" t="s">
        <v>383</v>
      </c>
      <c r="D11" s="119">
        <f>WybraneElementy!D19/WybraneElementy!$G$2</f>
        <v>1.0366405433646813</v>
      </c>
      <c r="E11" s="119"/>
      <c r="F11" s="119">
        <f>WybraneElementy!C19/WybraneElementy!G2</f>
        <v>1.5205172413793104</v>
      </c>
      <c r="G11" s="119"/>
      <c r="H11" s="119">
        <f>WybraneElementy!B19/WybraneElementy!G2</f>
        <v>1.6050626959247649</v>
      </c>
    </row>
    <row r="12" spans="1:10" ht="28.8" x14ac:dyDescent="0.3">
      <c r="A12" s="140"/>
      <c r="B12" s="110" t="s">
        <v>384</v>
      </c>
      <c r="C12" s="117" t="s">
        <v>385</v>
      </c>
      <c r="D12" s="119">
        <f>WybraneElementy!D19/WybraneElementy!G3</f>
        <v>33.125883465969167</v>
      </c>
      <c r="E12" s="119"/>
      <c r="F12" s="119">
        <f>WybraneElementy!C19/WybraneElementy!$G$3</f>
        <v>48.588179642718011</v>
      </c>
      <c r="G12" s="119"/>
      <c r="H12" s="119">
        <f>WybraneElementy!B19/WybraneElementy!$G$3</f>
        <v>51.2898324892871</v>
      </c>
    </row>
    <row r="13" spans="1:10" ht="28.8" x14ac:dyDescent="0.3">
      <c r="A13" s="140"/>
      <c r="B13" s="110" t="s">
        <v>386</v>
      </c>
      <c r="C13" s="117" t="s">
        <v>387</v>
      </c>
      <c r="D13" s="119">
        <f>WybraneElementy!D19/WybraneElementy!G4</f>
        <v>3.8475495455896995</v>
      </c>
      <c r="E13" s="119"/>
      <c r="F13" s="119">
        <f>WybraneElementy!C19/WybraneElementy!$G$4</f>
        <v>5.6434850619885459</v>
      </c>
      <c r="G13" s="119"/>
      <c r="H13" s="119">
        <f>WybraneElementy!B19/WybraneElementy!$G$4</f>
        <v>5.9572802606233761</v>
      </c>
    </row>
    <row r="14" spans="1:10" ht="28.8" x14ac:dyDescent="0.3">
      <c r="A14" s="140"/>
      <c r="B14" s="114" t="s">
        <v>388</v>
      </c>
      <c r="C14" s="124" t="s">
        <v>389</v>
      </c>
      <c r="D14" s="121">
        <f>Bilans!E15*365/RZiS!E2</f>
        <v>88.135102034644902</v>
      </c>
      <c r="E14" s="125">
        <v>54.03</v>
      </c>
      <c r="F14" s="121">
        <f>((Bilans!E15+Bilans!D15)/2 * 365)/RZiS!D2</f>
        <v>63.911716095070219</v>
      </c>
      <c r="G14" s="121">
        <v>55.01</v>
      </c>
      <c r="H14" s="121">
        <f>((Bilans!D15+Bilans!C15)/2 * 365)/RZiS!C2</f>
        <v>63.443030640378375</v>
      </c>
    </row>
    <row r="15" spans="1:10" ht="28.8" x14ac:dyDescent="0.3">
      <c r="A15" s="140"/>
      <c r="B15" s="114" t="s">
        <v>390</v>
      </c>
      <c r="C15" s="122" t="s">
        <v>391</v>
      </c>
      <c r="D15" s="126">
        <f>Bilans!E38*365/RZiS!E2</f>
        <v>60.474918478123911</v>
      </c>
      <c r="E15" s="121">
        <v>27.08</v>
      </c>
      <c r="F15" s="127">
        <f>((Bilans!E38+Bilans!D38)/2 * 365)/RZiS!D2</f>
        <v>46.948315792005552</v>
      </c>
      <c r="G15" s="121">
        <v>27.08</v>
      </c>
      <c r="H15" s="121">
        <f>((Bilans!D38+Bilans!C38)/2 * 365)/RZiS!C2</f>
        <v>70.166580406172997</v>
      </c>
    </row>
    <row r="16" spans="1:10" ht="28.8" x14ac:dyDescent="0.3">
      <c r="A16" s="140"/>
      <c r="B16" s="114" t="s">
        <v>392</v>
      </c>
      <c r="C16" s="122" t="s">
        <v>393</v>
      </c>
      <c r="D16" s="126">
        <f>11225*365/RZiS!E2</f>
        <v>20.64947861279251</v>
      </c>
      <c r="E16" s="121">
        <v>24.82</v>
      </c>
      <c r="F16" s="127">
        <f>(11225+4099)/2 *365/RZiS!D2</f>
        <v>9.6095207661144837</v>
      </c>
      <c r="G16" s="121">
        <v>24.4</v>
      </c>
      <c r="H16" s="121">
        <f>(4099+2645)/2 * 365/RZiS!C2</f>
        <v>4.0063279396111442</v>
      </c>
    </row>
    <row r="17" spans="1:8" ht="43.2" x14ac:dyDescent="0.3">
      <c r="A17" s="140" t="s">
        <v>394</v>
      </c>
      <c r="B17" s="115" t="s">
        <v>395</v>
      </c>
      <c r="C17" s="123" t="s">
        <v>396</v>
      </c>
      <c r="D17" s="121">
        <f>(Bilans!E22+Bilans!E32)/Bilans!E2</f>
        <v>1.4066544905900102</v>
      </c>
      <c r="E17" s="128">
        <v>6.12</v>
      </c>
      <c r="F17" s="121">
        <f>(Bilans!D22+Bilans!D32)/Bilans!D2</f>
        <v>1.4857764183801558</v>
      </c>
      <c r="G17" s="121">
        <v>6.17</v>
      </c>
      <c r="H17" s="121">
        <f>(Bilans!C22+Bilans!C32)/Bilans!C2</f>
        <v>1.5409019169725666</v>
      </c>
    </row>
    <row r="18" spans="1:8" ht="43.2" x14ac:dyDescent="0.3">
      <c r="A18" s="140"/>
      <c r="B18" s="114" t="s">
        <v>397</v>
      </c>
      <c r="C18" s="129" t="s">
        <v>398</v>
      </c>
      <c r="D18" s="121">
        <f>(Bilans!E22+Bilans!E32+Bilans!E26)/Bilans!E20</f>
        <v>0.54926370017565662</v>
      </c>
      <c r="E18" s="121">
        <v>0.66</v>
      </c>
      <c r="F18" s="121">
        <f>(Bilans!D22+Bilans!D32+Bilans!D26)/Bilans!D20</f>
        <v>0.53188508770603737</v>
      </c>
      <c r="G18" s="121">
        <v>0.67</v>
      </c>
      <c r="H18" s="121">
        <f>(Bilans!C22+Bilans!C32+Bilans!C26)/Bilans!C20</f>
        <v>0.47222965449978854</v>
      </c>
    </row>
    <row r="19" spans="1:8" ht="28.8" x14ac:dyDescent="0.3">
      <c r="A19" s="140"/>
      <c r="B19" s="114" t="s">
        <v>399</v>
      </c>
      <c r="C19" s="129" t="s">
        <v>400</v>
      </c>
      <c r="D19" s="121">
        <f>(Bilans!E26+Bilans!E22)*100/Bilans!E20</f>
        <v>54.344550825863877</v>
      </c>
      <c r="E19" s="121">
        <v>36.93</v>
      </c>
      <c r="F19" s="121">
        <f>(Bilans!D26+Bilans!D22)*100/Bilans!D20</f>
        <v>52.778827596285154</v>
      </c>
      <c r="G19" s="121">
        <v>35.270000000000003</v>
      </c>
      <c r="H19" s="121">
        <f>(Bilans!C26+Bilans!C22)*100/Bilans!C20</f>
        <v>46.860030553853328</v>
      </c>
    </row>
    <row r="20" spans="1:8" ht="28.8" x14ac:dyDescent="0.3">
      <c r="A20" s="140"/>
      <c r="B20" s="110" t="s">
        <v>401</v>
      </c>
      <c r="C20" s="111" t="s">
        <v>402</v>
      </c>
      <c r="D20" s="119">
        <f>(WybraneElementy!D23+WybraneElementy!D42)/WybraneElementy!D42</f>
        <v>4.0360110803324103</v>
      </c>
      <c r="E20" s="119"/>
      <c r="F20" s="119">
        <f>(WybraneElementy!C23+WybraneElementy!C42)/WybraneElementy!C42</f>
        <v>53.70700636942675</v>
      </c>
      <c r="G20" s="119"/>
      <c r="H20" s="119">
        <f>(WybraneElementy!B23+WybraneElementy!B42)/WybraneElementy!B42</f>
        <v>13.376784015223597</v>
      </c>
    </row>
    <row r="21" spans="1:8" ht="28.8" x14ac:dyDescent="0.3">
      <c r="A21" s="140"/>
      <c r="B21" s="110" t="s">
        <v>403</v>
      </c>
      <c r="C21" s="111" t="s">
        <v>404</v>
      </c>
      <c r="D21" s="119">
        <f>(Bilans!E26+Bilans!E33)/Bilans!E22</f>
        <v>1.0570567568339571</v>
      </c>
      <c r="E21" s="119"/>
      <c r="F21" s="119">
        <f>(Bilans!D26+Bilans!D33)/Bilans!D22</f>
        <v>1.3844924540997789</v>
      </c>
      <c r="G21" s="119"/>
      <c r="H21" s="119">
        <f>(Bilans!C26+Bilans!C33)/Bilans!C22</f>
        <v>1.6928136475619393</v>
      </c>
    </row>
    <row r="22" spans="1:8" ht="28.8" x14ac:dyDescent="0.3">
      <c r="A22" s="140" t="s">
        <v>405</v>
      </c>
      <c r="B22" s="110" t="s">
        <v>406</v>
      </c>
      <c r="C22" s="111" t="s">
        <v>407</v>
      </c>
      <c r="D22" s="119">
        <f>'Cash Flow'!D18/RZiS!E2</f>
        <v>6.0792387595570853E-2</v>
      </c>
      <c r="E22" s="119"/>
      <c r="F22" s="119">
        <f>'Cash Flow'!C18/RZiS!D2</f>
        <v>0.12774416119466578</v>
      </c>
      <c r="G22" s="119"/>
      <c r="H22" s="119">
        <f>'Cash Flow'!B18/RZiS!C2</f>
        <v>0.17787239306140121</v>
      </c>
    </row>
    <row r="23" spans="1:8" ht="28.8" x14ac:dyDescent="0.3">
      <c r="A23" s="140"/>
      <c r="B23" s="110" t="s">
        <v>408</v>
      </c>
      <c r="C23" s="111" t="s">
        <v>409</v>
      </c>
      <c r="D23" s="119">
        <f>'Cash Flow'!D18/RZiS!E13</f>
        <v>16.869930069930071</v>
      </c>
      <c r="E23" s="119"/>
      <c r="F23" s="119">
        <f>'Cash Flow'!C18 / RZiS!D13</f>
        <v>2.8017936543823949</v>
      </c>
      <c r="G23" s="119"/>
      <c r="H23" s="119">
        <f>'Cash Flow'!B18/RZiS!C13</f>
        <v>5.2954743676712859</v>
      </c>
    </row>
    <row r="24" spans="1:8" ht="28.8" x14ac:dyDescent="0.3">
      <c r="A24" s="140"/>
      <c r="B24" s="110" t="s">
        <v>410</v>
      </c>
      <c r="C24" s="111" t="s">
        <v>411</v>
      </c>
      <c r="D24" s="119">
        <f>'Cash Flow'!D18 / ('Cash Flow'!D25 + 'Cash Flow'!D35)</f>
        <v>1.0068447412353922</v>
      </c>
      <c r="E24" s="119"/>
      <c r="F24" s="119">
        <f>'Cash Flow'!C18 / ('Cash Flow'!C25 + 'Cash Flow'!C35)</f>
        <v>1.3786620188385375</v>
      </c>
      <c r="G24" s="119"/>
      <c r="H24" s="119">
        <f>'Cash Flow'!B18 / ('Cash Flow'!B25 + 'Cash Flow'!B34 +'Cash Flow'!B35)</f>
        <v>1.3705543014798094</v>
      </c>
    </row>
    <row r="27" spans="1:8" ht="22.2" customHeight="1" x14ac:dyDescent="0.3">
      <c r="A27" s="135" t="s">
        <v>412</v>
      </c>
      <c r="B27" s="135"/>
      <c r="C27" s="135"/>
    </row>
    <row r="28" spans="1:8" x14ac:dyDescent="0.3">
      <c r="A28" s="136"/>
      <c r="B28" s="136"/>
      <c r="C28" s="136"/>
    </row>
    <row r="29" spans="1:8" x14ac:dyDescent="0.3">
      <c r="A29" s="136"/>
      <c r="B29" s="136"/>
      <c r="C29" s="136"/>
    </row>
    <row r="30" spans="1:8" x14ac:dyDescent="0.3">
      <c r="A30" s="136"/>
      <c r="B30" s="136"/>
      <c r="C30" s="136"/>
    </row>
    <row r="31" spans="1:8" x14ac:dyDescent="0.3">
      <c r="A31" s="136"/>
      <c r="B31" s="136"/>
      <c r="C31" s="136"/>
    </row>
    <row r="32" spans="1:8" x14ac:dyDescent="0.3">
      <c r="A32" s="136"/>
      <c r="B32" s="136"/>
      <c r="C32" s="136"/>
    </row>
    <row r="33" spans="1:3" x14ac:dyDescent="0.3">
      <c r="A33" s="136"/>
      <c r="B33" s="136"/>
      <c r="C33" s="136"/>
    </row>
    <row r="34" spans="1:3" x14ac:dyDescent="0.3">
      <c r="A34" s="136"/>
      <c r="B34" s="136"/>
      <c r="C34" s="136"/>
    </row>
    <row r="35" spans="1:3" x14ac:dyDescent="0.3">
      <c r="A35" s="136"/>
      <c r="B35" s="136"/>
      <c r="C35" s="136"/>
    </row>
    <row r="36" spans="1:3" x14ac:dyDescent="0.3">
      <c r="A36" s="136"/>
      <c r="B36" s="136"/>
      <c r="C36" s="136"/>
    </row>
    <row r="37" spans="1:3" x14ac:dyDescent="0.3">
      <c r="A37" s="136"/>
      <c r="B37" s="136"/>
      <c r="C37" s="136"/>
    </row>
    <row r="38" spans="1:3" x14ac:dyDescent="0.3">
      <c r="A38" s="136"/>
      <c r="B38" s="136"/>
      <c r="C38" s="136"/>
    </row>
    <row r="39" spans="1:3" x14ac:dyDescent="0.3">
      <c r="A39" s="136"/>
      <c r="B39" s="136"/>
      <c r="C39" s="136"/>
    </row>
    <row r="40" spans="1:3" x14ac:dyDescent="0.3">
      <c r="A40" s="136"/>
      <c r="B40" s="136"/>
      <c r="C40" s="136"/>
    </row>
    <row r="41" spans="1:3" x14ac:dyDescent="0.3">
      <c r="A41" s="136"/>
      <c r="B41" s="136"/>
      <c r="C41" s="136"/>
    </row>
    <row r="42" spans="1:3" x14ac:dyDescent="0.3">
      <c r="A42" s="136"/>
      <c r="B42" s="136"/>
      <c r="C42" s="136"/>
    </row>
    <row r="43" spans="1:3" x14ac:dyDescent="0.3">
      <c r="A43" s="136"/>
      <c r="B43" s="136"/>
      <c r="C43" s="136"/>
    </row>
    <row r="44" spans="1:3" x14ac:dyDescent="0.3">
      <c r="A44" s="136"/>
      <c r="B44" s="136"/>
      <c r="C44" s="136"/>
    </row>
    <row r="45" spans="1:3" x14ac:dyDescent="0.3">
      <c r="A45" s="136"/>
      <c r="B45" s="136"/>
      <c r="C45" s="136"/>
    </row>
    <row r="46" spans="1:3" x14ac:dyDescent="0.3">
      <c r="A46" s="136"/>
      <c r="B46" s="136"/>
      <c r="C46" s="136"/>
    </row>
    <row r="47" spans="1:3" x14ac:dyDescent="0.3">
      <c r="A47" s="136"/>
      <c r="B47" s="136"/>
      <c r="C47" s="136"/>
    </row>
    <row r="48" spans="1:3" x14ac:dyDescent="0.3">
      <c r="A48" s="136"/>
      <c r="B48" s="136"/>
      <c r="C48" s="136"/>
    </row>
    <row r="49" spans="1:3" x14ac:dyDescent="0.3">
      <c r="A49" s="136"/>
      <c r="B49" s="136"/>
      <c r="C49" s="136"/>
    </row>
    <row r="50" spans="1:3" x14ac:dyDescent="0.3">
      <c r="A50" s="136"/>
      <c r="B50" s="136"/>
      <c r="C50" s="136"/>
    </row>
    <row r="51" spans="1:3" x14ac:dyDescent="0.3">
      <c r="A51" s="136"/>
      <c r="B51" s="136"/>
      <c r="C51" s="136"/>
    </row>
    <row r="52" spans="1:3" x14ac:dyDescent="0.3">
      <c r="A52" s="136"/>
      <c r="B52" s="136"/>
      <c r="C52" s="136"/>
    </row>
    <row r="53" spans="1:3" x14ac:dyDescent="0.3">
      <c r="A53" s="136"/>
      <c r="B53" s="136"/>
      <c r="C53" s="136"/>
    </row>
    <row r="54" spans="1:3" x14ac:dyDescent="0.3">
      <c r="A54" s="136"/>
      <c r="B54" s="136"/>
      <c r="C54" s="136"/>
    </row>
    <row r="55" spans="1:3" x14ac:dyDescent="0.3">
      <c r="A55" s="136"/>
      <c r="B55" s="136"/>
      <c r="C55" s="136"/>
    </row>
    <row r="56" spans="1:3" x14ac:dyDescent="0.3">
      <c r="A56" s="136"/>
      <c r="B56" s="136"/>
      <c r="C56" s="136"/>
    </row>
    <row r="57" spans="1:3" x14ac:dyDescent="0.3">
      <c r="A57" s="136"/>
      <c r="B57" s="136"/>
      <c r="C57" s="136"/>
    </row>
    <row r="58" spans="1:3" x14ac:dyDescent="0.3">
      <c r="A58" s="136"/>
      <c r="B58" s="136"/>
      <c r="C58" s="136"/>
    </row>
    <row r="59" spans="1:3" x14ac:dyDescent="0.3">
      <c r="A59" s="136"/>
      <c r="B59" s="136"/>
      <c r="C59" s="136"/>
    </row>
    <row r="60" spans="1:3" x14ac:dyDescent="0.3">
      <c r="A60" s="136"/>
      <c r="B60" s="136"/>
      <c r="C60" s="136"/>
    </row>
    <row r="61" spans="1:3" x14ac:dyDescent="0.3">
      <c r="A61" s="136"/>
      <c r="B61" s="136"/>
      <c r="C61" s="136"/>
    </row>
    <row r="62" spans="1:3" x14ac:dyDescent="0.3">
      <c r="A62" s="136"/>
      <c r="B62" s="136"/>
      <c r="C62" s="136"/>
    </row>
    <row r="63" spans="1:3" x14ac:dyDescent="0.3">
      <c r="A63" s="136"/>
      <c r="B63" s="136"/>
      <c r="C63" s="136"/>
    </row>
    <row r="64" spans="1:3" x14ac:dyDescent="0.3">
      <c r="A64" s="136"/>
      <c r="B64" s="136"/>
      <c r="C64" s="136"/>
    </row>
  </sheetData>
  <mergeCells count="10">
    <mergeCell ref="A27:C64"/>
    <mergeCell ref="C1:C2"/>
    <mergeCell ref="D1:H1"/>
    <mergeCell ref="A3:A7"/>
    <mergeCell ref="A1:A2"/>
    <mergeCell ref="A22:A24"/>
    <mergeCell ref="A8:A10"/>
    <mergeCell ref="A17:A21"/>
    <mergeCell ref="A11:A16"/>
    <mergeCell ref="B1:B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9C4B-3B15-4254-8A0D-8DB291D8E447}">
  <dimension ref="A1"/>
  <sheetViews>
    <sheetView topLeftCell="A3" zoomScale="65" workbookViewId="0">
      <selection activeCell="O34" sqref="O34"/>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1B2E-1F76-4ECB-86AE-304604950E2F}">
  <dimension ref="A1:D6"/>
  <sheetViews>
    <sheetView workbookViewId="0">
      <selection activeCell="H3" sqref="H3"/>
    </sheetView>
  </sheetViews>
  <sheetFormatPr defaultColWidth="9.5546875" defaultRowHeight="14.4" x14ac:dyDescent="0.3"/>
  <cols>
    <col min="1" max="1" width="17" bestFit="1" customWidth="1"/>
    <col min="2" max="2" width="13" customWidth="1"/>
    <col min="3" max="3" width="12.5546875" bestFit="1" customWidth="1"/>
    <col min="4" max="4" width="16.6640625" customWidth="1"/>
  </cols>
  <sheetData>
    <row r="1" spans="1:4" x14ac:dyDescent="0.3">
      <c r="A1" s="131" t="s">
        <v>413</v>
      </c>
      <c r="B1" s="131" t="s">
        <v>414</v>
      </c>
      <c r="C1" s="131" t="s">
        <v>415</v>
      </c>
      <c r="D1" s="131" t="s">
        <v>416</v>
      </c>
    </row>
    <row r="2" spans="1:4" ht="55.8" x14ac:dyDescent="0.3">
      <c r="A2" s="132" t="s">
        <v>417</v>
      </c>
      <c r="B2" s="132" t="s">
        <v>418</v>
      </c>
      <c r="C2" s="133">
        <v>5</v>
      </c>
      <c r="D2" s="132" t="s">
        <v>429</v>
      </c>
    </row>
    <row r="3" spans="1:4" ht="83.4" x14ac:dyDescent="0.3">
      <c r="A3" s="132" t="s">
        <v>419</v>
      </c>
      <c r="B3" s="132" t="s">
        <v>420</v>
      </c>
      <c r="C3" s="133">
        <v>5</v>
      </c>
      <c r="D3" s="132" t="s">
        <v>430</v>
      </c>
    </row>
    <row r="4" spans="1:4" ht="100.5" customHeight="1" x14ac:dyDescent="0.3">
      <c r="A4" s="132" t="s">
        <v>421</v>
      </c>
      <c r="B4" s="132" t="s">
        <v>422</v>
      </c>
      <c r="C4" s="133">
        <v>5</v>
      </c>
      <c r="D4" s="132" t="s">
        <v>423</v>
      </c>
    </row>
    <row r="5" spans="1:4" ht="68.25" customHeight="1" x14ac:dyDescent="0.3">
      <c r="A5" s="132" t="s">
        <v>424</v>
      </c>
      <c r="B5" s="132" t="s">
        <v>425</v>
      </c>
      <c r="C5" s="133">
        <v>5</v>
      </c>
      <c r="D5" s="132" t="s">
        <v>426</v>
      </c>
    </row>
    <row r="6" spans="1:4" ht="49.5" customHeight="1" x14ac:dyDescent="0.3">
      <c r="A6" s="132" t="s">
        <v>427</v>
      </c>
      <c r="B6" s="132" t="s">
        <v>428</v>
      </c>
      <c r="C6" s="133">
        <f>SUM(C2:C5)</f>
        <v>20</v>
      </c>
      <c r="D6" s="13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110F41-A7B3-4376-A181-09C415449B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10</vt:i4>
      </vt:variant>
    </vt:vector>
  </HeadingPairs>
  <TitlesOfParts>
    <vt:vector size="10" baseType="lpstr">
      <vt:lpstr>Strona tytułowa</vt:lpstr>
      <vt:lpstr>Wprowadzenie</vt:lpstr>
      <vt:lpstr>WybraneElementy</vt:lpstr>
      <vt:lpstr>Cash Flow</vt:lpstr>
      <vt:lpstr>Bilans</vt:lpstr>
      <vt:lpstr>RZiS</vt:lpstr>
      <vt:lpstr>Analiza wstępna</vt:lpstr>
      <vt:lpstr>Analiza wskaźnikowa</vt:lpstr>
      <vt:lpstr>Wnioski końcowe</vt:lpstr>
      <vt:lpstr>Komentarz zesp. 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Zofia Padoł</dc:creator>
  <cp:keywords/>
  <dc:description/>
  <cp:lastModifiedBy>Zofia Padoł</cp:lastModifiedBy>
  <cp:revision/>
  <dcterms:created xsi:type="dcterms:W3CDTF">2025-12-27T18:32:55Z</dcterms:created>
  <dcterms:modified xsi:type="dcterms:W3CDTF">2026-02-12T20:05:33Z</dcterms:modified>
  <cp:category/>
  <cp:contentStatus/>
</cp:coreProperties>
</file>